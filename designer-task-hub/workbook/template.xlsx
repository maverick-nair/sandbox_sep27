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nolskape-my.sharepoint.com/personal/manu_nair_knolskape_com/Documents/"/>
    </mc:Choice>
  </mc:AlternateContent>
  <xr:revisionPtr revIDLastSave="0" documentId="8_{A18C7DA8-8804-B249-8A0D-B00349960BF1}" xr6:coauthVersionLast="47" xr6:coauthVersionMax="47" xr10:uidLastSave="{00000000-0000-0000-0000-000000000000}"/>
  <bookViews>
    <workbookView xWindow="30240" yWindow="600" windowWidth="38400" windowHeight="21000" xr2:uid="{CFB21F9E-4B16-1E4B-87FF-F3B480AF1BBD}"/>
  </bookViews>
  <sheets>
    <sheet name="Tracker" sheetId="4" r:id="rId1"/>
    <sheet name="Scorecard" sheetId="5" r:id="rId2"/>
    <sheet name="Settings" sheetId="3" r:id="rId3"/>
    <sheet name="Leave &amp; Holidays" sheetId="6" r:id="rId4"/>
    <sheet name="Dashboard" sheetId="7" r:id="rId21"/>
    <sheet name="Task Details" sheetId="8" r:id="rId22"/>
    <sheet name="Daily Log" sheetId="9" r:id="rId23"/>
    <sheet name="Task Funnel" sheetId="10" r:id="rId24"/>
    <sheet name="Deliverables" sheetId="11" r:id="rId25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<sst xmlns="http://schemas.openxmlformats.org/spreadsheetml/2006/main" count="153" uniqueCount="110">
  <si>
    <t>Designers</t>
  </si>
  <si>
    <t>Status</t>
  </si>
  <si>
    <t>Priority</t>
  </si>
  <si>
    <t>Not Started</t>
  </si>
  <si>
    <t>In Progress</t>
  </si>
  <si>
    <t>In Review</t>
  </si>
  <si>
    <t>Blocked</t>
  </si>
  <si>
    <t>Done</t>
  </si>
  <si>
    <t>High</t>
  </si>
  <si>
    <t>Medium</t>
  </si>
  <si>
    <t>Low</t>
  </si>
  <si>
    <t>Product Design Task Tracker</t>
  </si>
  <si>
    <t>Task ID</t>
  </si>
  <si>
    <t>Task Assigned</t>
  </si>
  <si>
    <t>Designer</t>
  </si>
  <si>
    <t>Project</t>
  </si>
  <si>
    <t>Start Date</t>
  </si>
  <si>
    <t>Target End Date</t>
  </si>
  <si>
    <t>Actual End Date</t>
  </si>
  <si>
    <t>TAT (Working Days)</t>
  </si>
  <si>
    <t>Planned (Working Days)</t>
  </si>
  <si>
    <t>Variance vs Plan (Days)</t>
  </si>
  <si>
    <t>Delivery Status</t>
  </si>
  <si>
    <t>Revision Rounds</t>
  </si>
  <si>
    <t>Dependencies / Blockers</t>
  </si>
  <si>
    <t>Total Tasks</t>
  </si>
  <si>
    <t>Completed</t>
  </si>
  <si>
    <t>Open</t>
  </si>
  <si>
    <t>Overdue</t>
  </si>
  <si>
    <t>Avg Revision Rounds</t>
  </si>
  <si>
    <t>Settings – Lists &amp; Scoring</t>
  </si>
  <si>
    <t>Blue cells are editable. Dropdowns on the Tracker and the Scorecard read from here (Scorecard shows up to 5 designers and 5 PMs).</t>
  </si>
  <si>
    <t>Project Managers</t>
  </si>
  <si>
    <t>Pragati</t>
  </si>
  <si>
    <t>Swathi</t>
  </si>
  <si>
    <t>Raghav</t>
  </si>
  <si>
    <t>SL</t>
  </si>
  <si>
    <t>Arun</t>
  </si>
  <si>
    <t>Naveen</t>
  </si>
  <si>
    <t>Manu</t>
  </si>
  <si>
    <t>Project Lead (PM)</t>
  </si>
  <si>
    <t>Project 1 (rename)</t>
  </si>
  <si>
    <t>Project 2 (rename)</t>
  </si>
  <si>
    <t>Project 3 (rename)</t>
  </si>
  <si>
    <t>Project 4 (rename)</t>
  </si>
  <si>
    <t>Project 5 (rename)</t>
  </si>
  <si>
    <t>Scoring Setting</t>
  </si>
  <si>
    <t>Value</t>
  </si>
  <si>
    <t>Speed weight (planned vs actual working days)</t>
  </si>
  <si>
    <t>Quality weight (fewer revision rounds)</t>
  </si>
  <si>
    <t>Commitment weight (open tasks not overdue)</t>
  </si>
  <si>
    <t>Weights total (must be 100%)</t>
  </si>
  <si>
    <t>Revision rounds at which Quality score = 0</t>
  </si>
  <si>
    <t>Rating: Excellent if score ≥</t>
  </si>
  <si>
    <t>Rating: Good if score ≥</t>
  </si>
  <si>
    <t>Rating: Needs Improvement if score ≥</t>
  </si>
  <si>
    <t>Below the last threshold = At Risk</t>
  </si>
  <si>
    <t>① PM creates the task</t>
  </si>
  <si>
    <t>② Designer updates progress</t>
  </si>
  <si>
    <t>③ Auto-calculated</t>
  </si>
  <si>
    <t>PM (Project Lead)</t>
  </si>
  <si>
    <t>Speed Score</t>
  </si>
  <si>
    <t>Quality Score</t>
  </si>
  <si>
    <t>Task Score</t>
  </si>
  <si>
    <t>Designer Scorecard</t>
  </si>
  <si>
    <t>Live from the Tracker. Scores are 0–100. Speed and Quality use tasks completed in the period below; Commitment is as of today.</t>
  </si>
  <si>
    <t>Period from</t>
  </si>
  <si>
    <t>Period to</t>
  </si>
  <si>
    <t>Score by designer</t>
  </si>
  <si>
    <t>Tasks Completed (period)</t>
  </si>
  <si>
    <t>Avg TAT (Working Days)</t>
  </si>
  <si>
    <t>On-Time %</t>
  </si>
  <si>
    <t>Commitment Score</t>
  </si>
  <si>
    <t>Overall Score</t>
  </si>
  <si>
    <t>Rating</t>
  </si>
  <si>
    <t>Focus Area</t>
  </si>
  <si>
    <t>Tasks by PM</t>
  </si>
  <si>
    <t>PM</t>
  </si>
  <si>
    <t>Tasks Created</t>
  </si>
  <si>
    <t>Avg Revision Rounds (completed)</t>
  </si>
  <si>
    <t>How the score works</t>
  </si>
  <si>
    <t>Weights, thresholds and names can be changed on the Settings tab.</t>
  </si>
  <si>
    <t>Workload Setting</t>
  </si>
  <si>
    <t>Weekly working hours</t>
  </si>
  <si>
    <t>Working days per week (5 = Mon–Fri, 6 = Mon–Sat)</t>
  </si>
  <si>
    <t>Hours per working day (auto)</t>
  </si>
  <si>
    <t>Weekend code used in date maths (auto)</t>
  </si>
  <si>
    <t>Overloaded if utilisation above</t>
  </si>
  <si>
    <t>Under-utilised if utilisation below</t>
  </si>
  <si>
    <t>Leave &amp; Holidays</t>
  </si>
  <si>
    <t>Log every designer leave (one row per continuous leave) and every company holiday. They reduce weekly capacity on the Scorecard and are excluded from TAT working days.</t>
  </si>
  <si>
    <t>From</t>
  </si>
  <si>
    <t>To</t>
  </si>
  <si>
    <t>Type</t>
  </si>
  <si>
    <t>Note</t>
  </si>
  <si>
    <t>Working Days Off</t>
  </si>
  <si>
    <t>Holiday Date</t>
  </si>
  <si>
    <t>Holiday</t>
  </si>
  <si>
    <t>Estimated Effort (Hrs)</t>
  </si>
  <si>
    <t>Hours per Working Day</t>
  </si>
  <si>
    <t>PMs add a row per task (columns B–I, including effort estimate in hours). Designers update columns J–M. Everything grey is automatic. Use filters rather than sorting.</t>
  </si>
  <si>
    <t>Weekly workload</t>
  </si>
  <si>
    <t>Show weeks from (any date)</t>
  </si>
  <si>
    <t>Week starting (Mon)</t>
  </si>
  <si>
    <t>Holidays (working days)</t>
  </si>
  <si>
    <t>Leave (days)</t>
  </si>
  <si>
    <t>Available (hrs)</t>
  </si>
  <si>
    <t>Allocated (hrs)</t>
  </si>
  <si>
    <t>Utilisation</t>
  </si>
  <si>
    <t>Headroom 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</si>
</sst>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+0;\-0;0"/>
    <numFmt numFmtId="166" formatCode="0.0"/>
    <numFmt numFmtId="167" formatCode="\+0.0;\-0.0;0.0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color rgb="FF595959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22"/>
      <color rgb="FF111827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5EDE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1F7A6D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0" xfId="0" applyFont="1" applyFill="1"/>
    <xf numFmtId="0" fontId="3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166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166" fontId="0" fillId="0" borderId="3" xfId="0" applyNumberFormat="1" applyBorder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7" fillId="0" borderId="0" xfId="0" applyFont="1"/>
    <xf numFmtId="16" fontId="2" fillId="2" borderId="0" xfId="0" applyNumberFormat="1" applyFont="1" applyFill="1" applyAlignment="1">
      <alignment horizontal="center" vertical="center" wrapText="1"/>
    </xf>
    <xf numFmtId="0" fontId="4" fillId="4" borderId="0" xfId="0" applyFont="1" applyFill="1"/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center"/>
    </xf>
    <xf numFmtId="1" fontId="9" fillId="4" borderId="0" xfId="0" applyNumberFormat="1" applyFont="1" applyFill="1" applyAlignment="1">
      <alignment horizontal="center" vertical="center"/>
    </xf>
    <xf numFmtId="9" fontId="9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84">
    <dxf>
      <fill>
        <patternFill patternType="solid">
          <fgColor indexed="64"/>
          <bgColor rgb="FFE4DFEC"/>
        </patternFill>
      </fill>
    </dxf>
    <dxf>
      <font>
        <color rgb="FFC00000"/>
      </font>
    </dxf>
    <dxf>
      <font>
        <color rgb="FF3F3151"/>
      </font>
      <fill>
        <patternFill patternType="solid">
          <fgColor indexed="64"/>
          <bgColor rgb="FFE4DFE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E4DFEC"/>
        </patternFill>
      </fill>
    </dxf>
    <dxf>
      <font>
        <color rgb="FFC00000"/>
      </font>
    </dxf>
    <dxf>
      <font>
        <color rgb="FF3F3151"/>
      </font>
      <fill>
        <patternFill patternType="solid">
          <fgColor indexed="64"/>
          <bgColor rgb="FFE4DFE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E4DFEC"/>
        </patternFill>
      </fill>
    </dxf>
    <dxf>
      <font>
        <color rgb="FFC00000"/>
      </font>
    </dxf>
    <dxf>
      <font>
        <color rgb="FF3F3151"/>
      </font>
      <fill>
        <patternFill patternType="solid">
          <fgColor indexed="64"/>
          <bgColor rgb="FFE4DFE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E4DFEC"/>
        </patternFill>
      </fill>
    </dxf>
    <dxf>
      <font>
        <color rgb="FFC00000"/>
      </font>
    </dxf>
    <dxf>
      <font>
        <color rgb="FF3F3151"/>
      </font>
      <fill>
        <patternFill patternType="solid">
          <fgColor indexed="64"/>
          <bgColor rgb="FFE4DFE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E4DFEC"/>
        </patternFill>
      </fill>
    </dxf>
    <dxf>
      <font>
        <color rgb="FFC00000"/>
      </font>
    </dxf>
    <dxf>
      <font>
        <color rgb="FF3F3151"/>
      </font>
      <fill>
        <patternFill patternType="solid">
          <fgColor indexed="64"/>
          <bgColor rgb="FFE4DFE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ont>
        <color rgb="FF000000"/>
      </font>
      <numFmt numFmtId="166" formatCode="0.0"/>
      <alignment horizontal="center" vertical="center" textRotation="0" wrapText="0" indent="0" justifyLastLine="0" shrinkToFit="0" readingOrder="0"/>
    </dxf>
    <dxf>
      <numFmt numFmtId="166" formatCode="0.0"/>
      <alignment horizontal="center" vertical="center"/>
    </dxf>
    <dxf>
      <font>
        <color rgb="FFC00000"/>
      </font>
    </dxf>
    <dxf>
      <font>
        <color rgb="FFC00000"/>
      </font>
    </dxf>
    <dxf>
      <font>
        <color rgb="FF9C0006"/>
      </font>
      <fill>
        <patternFill patternType="solid">
          <fgColor indexed="64"/>
          <bgColor rgb="FFF8CBAD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00000"/>
      </font>
    </dxf>
    <dxf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8CBAD"/>
        </patternFill>
      </fill>
    </dxf>
    <dxf>
      <fill>
        <patternFill patternType="solid">
          <fgColor indexed="64"/>
          <bgColor rgb="FFF8CBAD"/>
        </patternFill>
      </fill>
    </dxf>
    <dxf>
      <font>
        <color rgb="FF3F3151"/>
      </font>
      <fill>
        <patternFill patternType="solid">
          <fgColor indexed="64"/>
          <bgColor rgb="FFE4DFEC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F3151"/>
      </font>
      <fill>
        <patternFill patternType="solid">
          <fgColor indexed="64"/>
          <bgColor rgb="FFE4DFEC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  <numFmt numFmtId="164" formatCode="dd\-mmm\-yyyy"/>
      <alignment horizontal="center"/>
    </dxf>
    <dxf>
      <font>
        <color rgb="FF0000FF"/>
      </font>
    </dxf>
    <dxf>
      <font>
        <color rgb="FF0000FF"/>
      </font>
      <alignment horizontal="center"/>
    </dxf>
    <dxf>
      <font>
        <color rgb="FF0000FF"/>
      </font>
      <numFmt numFmtId="164" formatCode="dd\-mmm\-yyyy"/>
      <alignment horizontal="center"/>
    </dxf>
    <dxf>
      <font>
        <color rgb="FF0000FF"/>
      </font>
      <numFmt numFmtId="164" formatCode="dd\-mmm\-yyyy"/>
      <alignment horizontal="center"/>
    </dxf>
    <dxf>
      <font>
        <color rgb="FF0000FF"/>
      </font>
    </dxf>
    <dxf>
      <numFmt numFmtId="1" formatCode="0"/>
      <alignment horizontal="center"/>
    </dxf>
    <dxf>
      <font>
        <b/>
        <color rgb="FFFFFFFF"/>
      </font>
      <fill>
        <patternFill patternType="solid">
          <fgColor indexed="64"/>
          <bgColor rgb="FF1F3864"/>
        </patternFill>
      </fill>
      <alignment horizontal="center"/>
    </dxf>
    <dxf>
      <alignment horizontal="center"/>
    </dxf>
    <dxf>
      <numFmt numFmtId="0" formatCode="General"/>
      <alignment horizontal="center" vertical="center"/>
    </dxf>
    <dxf>
      <alignment vertical="center" wrapText="1"/>
    </dxf>
    <dxf>
      <alignment vertical="center" wrapText="1"/>
    </dxf>
    <dxf>
      <alignment vertical="center"/>
    </dxf>
    <dxf>
      <numFmt numFmtId="1" formatCode="0"/>
      <alignment horizontal="center" vertical="center"/>
    </dxf>
    <dxf>
      <numFmt numFmtId="1" formatCode="0"/>
      <alignment horizontal="center" vertical="center"/>
    </dxf>
    <dxf>
      <numFmt numFmtId="1" formatCode="0"/>
      <alignment horizontal="center" vertical="center"/>
    </dxf>
    <dxf>
      <alignment horizontal="center" vertical="center"/>
    </dxf>
    <dxf>
      <numFmt numFmtId="165" formatCode="\+0;\-0;0"/>
      <alignment horizontal="center" vertical="center"/>
    </dxf>
    <dxf>
      <numFmt numFmtId="1" formatCode="0"/>
      <alignment horizontal="center" vertical="center"/>
    </dxf>
    <dxf>
      <numFmt numFmtId="1" formatCode="0"/>
      <alignment horizontal="center" vertical="center"/>
    </dxf>
    <dxf>
      <alignment horizontal="center" vertical="center"/>
    </dxf>
    <dxf>
      <numFmt numFmtId="164" formatCode="dd\-mmm\-yyyy"/>
      <alignment horizontal="center" vertical="center"/>
    </dxf>
    <dxf>
      <alignment horizontal="center" vertical="center"/>
    </dxf>
    <dxf>
      <numFmt numFmtId="164" formatCode="dd\-mmm\-yyyy"/>
      <alignment horizontal="center" vertical="center"/>
    </dxf>
    <dxf>
      <numFmt numFmtId="164" formatCode="dd\-mmm\-yyyy"/>
      <alignment horizontal="center" vertical="center"/>
    </dxf>
    <dxf>
      <alignment horizontal="center" vertical="center"/>
    </dxf>
    <dxf>
      <alignment horizontal="center" vertical="center"/>
    </dxf>
    <dxf>
      <alignment vertical="center"/>
    </dxf>
    <dxf>
      <alignment horizontal="center" vertical="center"/>
    </dxf>
    <dxf>
      <font>
        <b/>
        <color rgb="FFFFFFFF"/>
      </font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21" Type="http://schemas.openxmlformats.org/officeDocument/2006/relationships/worksheet" Target="worksheets/sheet5.xml"/><Relationship Id="rId22" Type="http://schemas.openxmlformats.org/officeDocument/2006/relationships/worksheet" Target="worksheets/sheet6.xml"/><Relationship Id="rId23" Type="http://schemas.openxmlformats.org/officeDocument/2006/relationships/worksheet" Target="worksheets/sheet7.xml"/><Relationship Id="rId24" Type="http://schemas.openxmlformats.org/officeDocument/2006/relationships/worksheet" Target="worksheets/sheet8.xml"/><Relationship Id="rId25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262626"/>
                </a:solidFill>
              </a:rPr>
              <a:t>Designer scores (period, 0 to 100)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Dashboard!$E$67</c:f>
            </c:strRef>
          </c:tx>
          <c:spPr>
            <a:solidFill>
              <a:srgbClr val="0337D8"/>
            </a:solidFill>
            <a:ln>
              <a:noFill/>
            </a:ln>
          </c:spPr>
          <c:invertIfNegative val="0"/>
          <c:cat>
            <c:strRef>
              <c:f>Dashboard!$A$68:$A$72</c:f>
            </c:strRef>
          </c:cat>
          <c:val>
            <c:numRef>
              <c:f>Dashboard!$E$68:$E$72</c:f>
            </c:numRef>
          </c:val>
        </c:ser>
        <c:ser>
          <c:idx val="1"/>
          <c:order val="1"/>
          <c:tx>
            <c:strRef>
              <c:f>Dashboard!$F$67</c:f>
            </c:strRef>
          </c:tx>
          <c:spPr>
            <a:solidFill>
              <a:srgbClr val="E86A00"/>
            </a:solidFill>
            <a:ln>
              <a:noFill/>
            </a:ln>
          </c:spPr>
          <c:invertIfNegative val="0"/>
          <c:cat>
            <c:strRef>
              <c:f>Dashboard!$A$68:$A$72</c:f>
            </c:strRef>
          </c:cat>
          <c:val>
            <c:numRef>
              <c:f>Dashboard!$F$68:$F$72</c:f>
            </c:numRef>
          </c:val>
        </c:ser>
        <c:ser>
          <c:idx val="2"/>
          <c:order val="2"/>
          <c:tx>
            <c:strRef>
              <c:f>Dashboard!$G$67</c:f>
            </c:strRef>
          </c:tx>
          <c:spPr>
            <a:solidFill>
              <a:srgbClr val="7E9CF0"/>
            </a:solidFill>
            <a:ln>
              <a:noFill/>
            </a:ln>
          </c:spPr>
          <c:invertIfNegative val="0"/>
          <c:cat>
            <c:strRef>
              <c:f>Dashboard!$A$68:$A$72</c:f>
            </c:strRef>
          </c:cat>
          <c:val>
            <c:numRef>
              <c:f>Dashboard!$G$68:$G$72</c:f>
            </c:numRef>
          </c:val>
        </c:ser>
        <c:ser>
          <c:idx val="3"/>
          <c:order val="3"/>
          <c:tx>
            <c:strRef>
              <c:f>Dashboard!$H$67</c:f>
            </c:strRef>
          </c:tx>
          <c:spPr>
            <a:solidFill>
              <a:srgbClr val="111827"/>
            </a:solidFill>
            <a:ln>
              <a:noFill/>
            </a:ln>
          </c:spPr>
          <c:invertIfNegative val="0"/>
          <c:cat>
            <c:strRef>
              <c:f>Dashboard!$A$68:$A$72</c:f>
            </c:strRef>
          </c:cat>
          <c:val>
            <c:numRef>
              <c:f>Dashboard!$H$68:$H$72</c:f>
            </c:numRef>
          </c:val>
        </c:ser>
        <c:gapWidth val="70"/>
        <c:overlap val="-1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  <c:max val="100"/>
          <c:min val="0"/>
        </c:scaling>
        <c:delete val="0"/>
        <c:axPos val="l"/>
        <c:majorGridlines>
          <c:spPr>
            <a:ln w="6350">
              <a:solidFill>
                <a:srgbClr val="E7E6E2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crossAx val="5001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>
      <a:srgbClr val="FFFFFF"/>
    </a:solidFill>
    <a:ln w="6350">
      <a:solidFill>
        <a:srgbClr val="E7E6E2"/>
      </a:solidFill>
    </a:ln>
  </c:spPr>
  <c:txPr>
    <a:bodyPr/>
    <a:lstStyle/>
    <a:p>
      <a:pPr>
        <a:defRPr sz="900">
          <a:solidFill>
            <a:srgbClr val="52514E"/>
          </a:solidFill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262626"/>
                </a:solidFill>
              </a:rPr>
              <a:t>Utilisation this week (100% = full capacity)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337D8"/>
            </a:solidFill>
            <a:ln>
              <a:noFill/>
            </a:ln>
          </c:spPr>
          <c:invertIfNegative val="0"/>
          <c:cat>
            <c:strRef>
              <c:f>Dashboard!$A$68:$A$72</c:f>
            </c:strRef>
          </c:cat>
          <c:val>
            <c:numRef>
              <c:f>Dashboard!$K$68:$K$72</c:f>
            </c:numRef>
          </c:val>
        </c:ser>
        <c:gapWidth val="70"/>
        <c:overlap val="-1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7E6E2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crossAx val="5001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E7E6E2"/>
      </a:solidFill>
    </a:ln>
  </c:spPr>
  <c:txPr>
    <a:bodyPr/>
    <a:lstStyle/>
    <a:p>
      <a:pPr>
        <a:defRPr sz="900">
          <a:solidFill>
            <a:srgbClr val="52514E"/>
          </a:solidFill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262626"/>
                </a:solidFill>
              </a:rPr>
              <a:t>Tasks by delivery status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337D8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5E8C00"/>
              </a:soli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E85C24"/>
              </a:solidFill>
              <a:ln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0337D8"/>
              </a:solidFill>
              <a:ln>
                <a:noFill/>
              </a:ln>
            </c:spPr>
          </c:dPt>
          <c:dPt>
            <c:idx val="3"/>
            <c:invertIfNegative val="0"/>
            <c:bubble3D val="0"/>
            <c:spPr>
              <a:solidFill>
                <a:srgbClr val="86B6EF"/>
              </a:solidFill>
              <a:ln>
                <a:noFill/>
              </a:ln>
            </c:spPr>
          </c:dPt>
          <c:dPt>
            <c:idx val="4"/>
            <c:invertIfNegative val="0"/>
            <c:bubble3D val="0"/>
            <c:spPr>
              <a:solidFill>
                <a:srgbClr val="C12400"/>
              </a:solidFill>
              <a:ln>
                <a:noFill/>
              </a:ln>
            </c:spPr>
          </c:dPt>
          <c:dPt>
            <c:idx val="5"/>
            <c:invertIfNegative val="0"/>
            <c:bubble3D val="0"/>
            <c:spPr>
              <a:solidFill>
                <a:srgbClr val="FBD300"/>
              </a:solidFill>
              <a:ln>
                <a:noFill/>
              </a:ln>
            </c:spPr>
          </c:dPt>
          <c:dPt>
            <c:idx val="6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</c:spPr>
          </c:dPt>
          <c:cat>
            <c:strRef>
              <c:f>Dashboard!$A$76:$A$82</c:f>
            </c:strRef>
          </c:cat>
          <c:val>
            <c:numRef>
              <c:f>Dashboard!$B$76:$B$82</c:f>
            </c:numRef>
          </c:val>
        </c:ser>
        <c:gapWidth val="70"/>
        <c:overlap val="-10"/>
        <c:axId val="5001"/>
        <c:axId val="5002"/>
      </c:barChart>
      <c:catAx>
        <c:axId val="5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7E6E2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crossAx val="5001"/>
        <c:crosses val="max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E7E6E2"/>
      </a:solidFill>
    </a:ln>
  </c:spPr>
  <c:txPr>
    <a:bodyPr/>
    <a:lstStyle/>
    <a:p>
      <a:pPr>
        <a:defRPr sz="900">
          <a:solidFill>
            <a:srgbClr val="52514E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262626"/>
                </a:solidFill>
              </a:rPr>
              <a:t>Hours logged per week (last 8 weeks)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Dashboard!$B$85</c:f>
            </c:strRef>
          </c:tx>
          <c:spPr>
            <a:ln w="22225" cap="rnd">
              <a:solidFill>
                <a:srgbClr val="0337D8"/>
              </a:solidFill>
              <a:round/>
            </a:ln>
          </c:spPr>
          <c:marker>
            <c:symbol val="circle"/>
            <c:size val="6"/>
            <c:spPr>
              <a:solidFill>
                <a:srgbClr val="0337D8"/>
              </a:solidFill>
              <a:ln w="12700">
                <a:solidFill>
                  <a:srgbClr val="FFFFFF"/>
                </a:solidFill>
              </a:ln>
            </c:spPr>
          </c:marker>
          <c:cat>
            <c:numRef>
              <c:f>Dashboard!$A$86:$A$93</c:f>
            </c:numRef>
          </c:cat>
          <c:val>
            <c:numRef>
              <c:f>Dashboard!$B$86:$B$93</c:f>
            </c:numRef>
          </c:val>
          <c:smooth val="0"/>
        </c:ser>
        <c:ser>
          <c:idx val="1"/>
          <c:order val="1"/>
          <c:tx>
            <c:strRef>
              <c:f>Dashboard!$C$85</c:f>
            </c:strRef>
          </c:tx>
          <c:spPr>
            <a:ln w="22225" cap="rnd">
              <a:solidFill>
                <a:srgbClr val="E86A00"/>
              </a:solidFill>
              <a:round/>
            </a:ln>
          </c:spPr>
          <c:marker>
            <c:symbol val="circle"/>
            <c:size val="6"/>
            <c:spPr>
              <a:solidFill>
                <a:srgbClr val="E86A00"/>
              </a:solidFill>
              <a:ln w="12700">
                <a:solidFill>
                  <a:srgbClr val="FFFFFF"/>
                </a:solidFill>
              </a:ln>
            </c:spPr>
          </c:marker>
          <c:cat>
            <c:numRef>
              <c:f>Dashboard!$A$86:$A$93</c:f>
            </c:numRef>
          </c:cat>
          <c:val>
            <c:numRef>
              <c:f>Dashboard!$C$86:$C$93</c:f>
            </c:numRef>
          </c:val>
          <c:smooth val="0"/>
        </c:ser>
        <c:ser>
          <c:idx val="2"/>
          <c:order val="2"/>
          <c:tx>
            <c:strRef>
              <c:f>Dashboard!$D$85</c:f>
            </c:strRef>
          </c:tx>
          <c:spPr>
            <a:ln w="22225" cap="rnd">
              <a:solidFill>
                <a:srgbClr val="7E9CF0"/>
              </a:solidFill>
              <a:round/>
            </a:ln>
          </c:spPr>
          <c:marker>
            <c:symbol val="circle"/>
            <c:size val="6"/>
            <c:spPr>
              <a:solidFill>
                <a:srgbClr val="7E9CF0"/>
              </a:solidFill>
              <a:ln w="12700">
                <a:solidFill>
                  <a:srgbClr val="FFFFFF"/>
                </a:solidFill>
              </a:ln>
            </c:spPr>
          </c:marker>
          <c:cat>
            <c:numRef>
              <c:f>Dashboard!$A$86:$A$93</c:f>
            </c:numRef>
          </c:cat>
          <c:val>
            <c:numRef>
              <c:f>Dashboard!$D$86:$D$93</c:f>
            </c:numRef>
          </c:val>
          <c:smooth val="0"/>
        </c:ser>
        <c:ser>
          <c:idx val="3"/>
          <c:order val="3"/>
          <c:tx>
            <c:strRef>
              <c:f>Dashboard!$E$85</c:f>
            </c:strRef>
          </c:tx>
          <c:spPr>
            <a:ln w="22225" cap="rnd">
              <a:solidFill>
                <a:srgbClr val="C12400"/>
              </a:solidFill>
              <a:round/>
            </a:ln>
          </c:spPr>
          <c:marker>
            <c:symbol val="circle"/>
            <c:size val="6"/>
            <c:spPr>
              <a:solidFill>
                <a:srgbClr val="C12400"/>
              </a:solidFill>
              <a:ln w="12700">
                <a:solidFill>
                  <a:srgbClr val="FFFFFF"/>
                </a:solidFill>
              </a:ln>
            </c:spPr>
          </c:marker>
          <c:cat>
            <c:numRef>
              <c:f>Dashboard!$A$86:$A$93</c:f>
            </c:numRef>
          </c:cat>
          <c:val>
            <c:numRef>
              <c:f>Dashboard!$E$86:$E$93</c:f>
            </c:numRef>
          </c:val>
          <c:smooth val="0"/>
        </c:ser>
        <c:ser>
          <c:idx val="4"/>
          <c:order val="4"/>
          <c:tx>
            <c:strRef>
              <c:f>Dashboard!$F$85</c:f>
            </c:strRef>
          </c:tx>
          <c:spPr>
            <a:ln w="22225" cap="rnd">
              <a:solidFill>
                <a:srgbClr val="8A9A1A"/>
              </a:solidFill>
              <a:round/>
            </a:ln>
          </c:spPr>
          <c:marker>
            <c:symbol val="circle"/>
            <c:size val="6"/>
            <c:spPr>
              <a:solidFill>
                <a:srgbClr val="8A9A1A"/>
              </a:solidFill>
              <a:ln w="12700">
                <a:solidFill>
                  <a:srgbClr val="FFFFFF"/>
                </a:solidFill>
              </a:ln>
            </c:spPr>
          </c:marker>
          <c:cat>
            <c:numRef>
              <c:f>Dashboard!$A$86:$A$93</c:f>
            </c:numRef>
          </c:cat>
          <c:val>
            <c:numRef>
              <c:f>Dashboard!$F$86:$F$93</c:f>
            </c:numRef>
          </c:val>
          <c:smooth val="0"/>
        </c:ser>
        <c:marker val="1"/>
        <c:axId val="5001"/>
        <c:axId val="5002"/>
      </c:lineChart>
      <c:catAx>
        <c:axId val="5001"/>
        <c:scaling>
          <c:orientation val="minMax"/>
        </c:scaling>
        <c:delete val="0"/>
        <c:axPos val="b"/>
        <c:numFmt formatCode="dd-mmm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crossAx val="5002"/>
        <c:crosses val="autoZero"/>
        <c:auto val="0"/>
        <c:lblAlgn val="ctr"/>
        <c:lblOffset val="100"/>
        <c:noMultiLvlLbl val="0"/>
      </c:catAx>
      <c:valAx>
        <c:axId val="5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7E6E2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crossAx val="5001"/>
        <c:crosses val="autoZero"/>
        <c:crossBetween val="midCat"/>
      </c:valAx>
    </c:plotArea>
    <c:legend>
      <c:legendPos val="b"/>
      <c:overlay val="0"/>
    </c:legend>
    <c:plotVisOnly val="1"/>
    <c:dispBlanksAs val="gap"/>
  </c:chart>
  <c:spPr>
    <a:solidFill>
      <a:srgbClr val="FFFFFF"/>
    </a:solidFill>
    <a:ln w="6350">
      <a:solidFill>
        <a:srgbClr val="E7E6E2"/>
      </a:solidFill>
    </a:ln>
  </c:spPr>
  <c:txPr>
    <a:bodyPr/>
    <a:lstStyle/>
    <a:p>
      <a:pPr>
        <a:defRPr sz="900">
          <a:solidFill>
            <a:srgbClr val="52514E"/>
          </a:solidFill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262626"/>
                </a:solidFill>
              </a:rPr>
              <a:t>Effort by product: estimated vs logged hours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Dashboard!$E$97</c:f>
            </c:strRef>
          </c:tx>
          <c:spPr>
            <a:solidFill>
              <a:srgbClr val="0337D8"/>
            </a:solidFill>
            <a:ln>
              <a:noFill/>
            </a:ln>
          </c:spPr>
          <c:invertIfNegative val="0"/>
          <c:cat>
            <c:strRef>
              <c:f>Dashboard!$A$98:$A$112</c:f>
            </c:strRef>
          </c:cat>
          <c:val>
            <c:numRef>
              <c:f>Dashboard!$E$98:$E$112</c:f>
            </c:numRef>
          </c:val>
        </c:ser>
        <c:ser>
          <c:idx val="1"/>
          <c:order val="1"/>
          <c:tx>
            <c:strRef>
              <c:f>Dashboard!$F$97</c:f>
            </c:strRef>
          </c:tx>
          <c:spPr>
            <a:solidFill>
              <a:srgbClr val="E86A00"/>
            </a:solidFill>
            <a:ln>
              <a:noFill/>
            </a:ln>
          </c:spPr>
          <c:invertIfNegative val="0"/>
          <c:cat>
            <c:strRef>
              <c:f>Dashboard!$A$98:$A$112</c:f>
            </c:strRef>
          </c:cat>
          <c:val>
            <c:numRef>
              <c:f>Dashboard!$F$98:$F$112</c:f>
            </c:numRef>
          </c:val>
        </c:ser>
        <c:gapWidth val="70"/>
        <c:overlap val="-10"/>
        <c:axId val="5001"/>
        <c:axId val="5002"/>
      </c:barChart>
      <c:catAx>
        <c:axId val="5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7E6E2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crossAx val="5001"/>
        <c:crosses val="max"/>
        <c:crossBetween val="between"/>
      </c:valAx>
    </c:plotArea>
    <c:legend>
      <c:legendPos val="b"/>
      <c:overlay val="0"/>
    </c:legend>
    <c:plotVisOnly val="1"/>
    <c:dispBlanksAs val="gap"/>
  </c:chart>
  <c:spPr>
    <a:solidFill>
      <a:srgbClr val="FFFFFF"/>
    </a:solidFill>
    <a:ln w="6350">
      <a:solidFill>
        <a:srgbClr val="E7E6E2"/>
      </a:solidFill>
    </a:ln>
  </c:spPr>
  <c:txPr>
    <a:bodyPr/>
    <a:lstStyle/>
    <a:p>
      <a:pPr>
        <a:defRPr sz="900">
          <a:solidFill>
            <a:srgbClr val="52514E"/>
          </a:solidFill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262626"/>
                </a:solidFill>
              </a:rPr>
              <a:t>Tasks by project: completed and open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Dashboard!$E$115</c:f>
            </c:strRef>
          </c:tx>
          <c:spPr>
            <a:solidFill>
              <a:srgbClr val="7E9CF0"/>
            </a:solidFill>
            <a:ln>
              <a:noFill/>
            </a:ln>
          </c:spPr>
          <c:invertIfNegative val="0"/>
          <c:cat>
            <c:strRef>
              <c:f>Dashboard!$A$116:$A$145</c:f>
            </c:strRef>
          </c:cat>
          <c:val>
            <c:numRef>
              <c:f>Dashboard!$E$116:$E$145</c:f>
            </c:numRef>
          </c:val>
        </c:ser>
        <c:ser>
          <c:idx val="1"/>
          <c:order val="1"/>
          <c:tx>
            <c:strRef>
              <c:f>Dashboard!$D$115</c:f>
            </c:strRef>
          </c:tx>
          <c:spPr>
            <a:solidFill>
              <a:srgbClr val="0337D8"/>
            </a:solidFill>
            <a:ln>
              <a:noFill/>
            </a:ln>
          </c:spPr>
          <c:invertIfNegative val="0"/>
          <c:cat>
            <c:strRef>
              <c:f>Dashboard!$A$116:$A$145</c:f>
            </c:strRef>
          </c:cat>
          <c:val>
            <c:numRef>
              <c:f>Dashboard!$D$116:$D$145</c:f>
            </c:numRef>
          </c:val>
        </c:ser>
        <c:gapWidth val="70"/>
        <c:overlap val="100"/>
        <c:axId val="5001"/>
        <c:axId val="5002"/>
      </c:barChart>
      <c:catAx>
        <c:axId val="5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7E6E2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crossAx val="5001"/>
        <c:crosses val="max"/>
        <c:crossBetween val="between"/>
      </c:valAx>
    </c:plotArea>
    <c:legend>
      <c:legendPos val="b"/>
      <c:overlay val="0"/>
    </c:legend>
    <c:plotVisOnly val="1"/>
    <c:dispBlanksAs val="gap"/>
  </c:chart>
  <c:spPr>
    <a:solidFill>
      <a:srgbClr val="FFFFFF"/>
    </a:solidFill>
    <a:ln w="6350">
      <a:solidFill>
        <a:srgbClr val="E7E6E2"/>
      </a:solidFill>
    </a:ln>
  </c:spPr>
  <c:txPr>
    <a:bodyPr/>
    <a:lstStyle/>
    <a:p>
      <a:pPr>
        <a:defRPr sz="900">
          <a:solidFill>
            <a:srgbClr val="52514E"/>
          </a:solidFill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n-US" sz="1200" b="1">
                <a:solidFill>
                  <a:srgbClr val="262626"/>
                </a:solidFill>
              </a:rPr>
              <a:t>Deliverables completed per week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Dashboard!$B$163</c:f>
            </c:strRef>
          </c:tx>
          <c:spPr>
            <a:solidFill>
              <a:srgbClr val="0337D8"/>
            </a:solidFill>
            <a:ln>
              <a:noFill/>
            </a:ln>
          </c:spPr>
          <c:invertIfNegative val="0"/>
          <c:cat>
            <c:strRef>
              <c:f>Dashboard!$A$164:$A$171</c:f>
            </c:strRef>
          </c:cat>
          <c:val>
            <c:numRef>
              <c:f>Dashboard!$B$164:$B$171</c:f>
            </c:numRef>
          </c:val>
        </c:ser>
        <c:ser>
          <c:idx val="1"/>
          <c:order val="1"/>
          <c:tx>
            <c:strRef>
              <c:f>Dashboard!$C$163</c:f>
            </c:strRef>
          </c:tx>
          <c:spPr>
            <a:solidFill>
              <a:srgbClr val="E86A00"/>
            </a:solidFill>
            <a:ln>
              <a:noFill/>
            </a:ln>
          </c:spPr>
          <c:invertIfNegative val="0"/>
          <c:cat>
            <c:strRef>
              <c:f>Dashboard!$A$164:$A$171</c:f>
            </c:strRef>
          </c:cat>
          <c:val>
            <c:numRef>
              <c:f>Dashboard!$C$164:$C$171</c:f>
            </c:numRef>
          </c:val>
        </c:ser>
        <c:ser>
          <c:idx val="2"/>
          <c:order val="2"/>
          <c:tx>
            <c:strRef>
              <c:f>Dashboard!$D$163</c:f>
            </c:strRef>
          </c:tx>
          <c:spPr>
            <a:solidFill>
              <a:srgbClr val="7E9CF0"/>
            </a:solidFill>
            <a:ln>
              <a:noFill/>
            </a:ln>
          </c:spPr>
          <c:invertIfNegative val="0"/>
          <c:cat>
            <c:strRef>
              <c:f>Dashboard!$A$164:$A$171</c:f>
            </c:strRef>
          </c:cat>
          <c:val>
            <c:numRef>
              <c:f>Dashboard!$D$164:$D$171</c:f>
            </c:numRef>
          </c:val>
        </c:ser>
        <c:ser>
          <c:idx val="3"/>
          <c:order val="3"/>
          <c:tx>
            <c:strRef>
              <c:f>Dashboard!$E$163</c:f>
            </c:strRef>
          </c:tx>
          <c:spPr>
            <a:solidFill>
              <a:srgbClr val="C12400"/>
            </a:solidFill>
            <a:ln>
              <a:noFill/>
            </a:ln>
          </c:spPr>
          <c:invertIfNegative val="0"/>
          <c:cat>
            <c:strRef>
              <c:f>Dashboard!$A$164:$A$171</c:f>
            </c:strRef>
          </c:cat>
          <c:val>
            <c:numRef>
              <c:f>Dashboard!$E$164:$E$171</c:f>
            </c:numRef>
          </c:val>
        </c:ser>
        <c:ser>
          <c:idx val="4"/>
          <c:order val="4"/>
          <c:tx>
            <c:strRef>
              <c:f>Dashboard!$F$163</c:f>
            </c:strRef>
          </c:tx>
          <c:spPr>
            <a:solidFill>
              <a:srgbClr val="8A9A1A"/>
            </a:solidFill>
            <a:ln>
              <a:noFill/>
            </a:ln>
          </c:spPr>
          <c:invertIfNegative val="0"/>
          <c:cat>
            <c:strRef>
              <c:f>Dashboard!$A$164:$A$171</c:f>
            </c:strRef>
          </c:cat>
          <c:val>
            <c:numRef>
              <c:f>Dashboard!$F$164:$F$171</c:f>
            </c:numRef>
          </c:val>
        </c:ser>
        <c:gapWidth val="70"/>
        <c:overlap val="-1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dd-mmm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crossAx val="5002"/>
        <c:crosses val="autoZero"/>
        <c:auto val="0"/>
        <c:lblAlgn val="ctr"/>
        <c:lblOffset val="100"/>
        <c:noMultiLvlLbl val="0"/>
      </c:catAx>
      <c:valAx>
        <c:axId val="5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7E6E2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crossAx val="5001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>
      <a:srgbClr val="FFFFFF"/>
    </a:solidFill>
    <a:ln w="6350">
      <a:solidFill>
        <a:srgbClr val="E7E6E2"/>
      </a:solidFill>
    </a:ln>
  </c:spPr>
  <c:txPr>
    <a:bodyPr/>
    <a:lstStyle/>
    <a:p>
      <a:pPr>
        <a:defRPr sz="900">
          <a:solidFill>
            <a:srgbClr val="52514E"/>
          </a:solidFill>
        </a:defRPr>
      </a:pPr>
      <a:endParaRPr lang="en-US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8</xdr:col>
      <xdr:colOff>76200</xdr:colOff>
      <xdr:row>7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 editAs="oneCell">
    <xdr:from>
      <xdr:col>8</xdr:col>
      <xdr:colOff>76200</xdr:colOff>
      <xdr:row>26</xdr:row>
      <xdr:rowOff>0</xdr:rowOff>
    </xdr:from>
    <xdr:to>
      <xdr:col>16</xdr:col>
      <xdr:colOff>0</xdr:colOff>
      <xdr:row>44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8</xdr:col>
      <xdr:colOff>0</xdr:colOff>
      <xdr:row>63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 editAs="oneCell">
    <xdr:from>
      <xdr:col>8</xdr:col>
      <xdr:colOff>76200</xdr:colOff>
      <xdr:row>45</xdr:row>
      <xdr:rowOff>0</xdr:rowOff>
    </xdr:from>
    <xdr:to>
      <xdr:col>16</xdr:col>
      <xdr:colOff>0</xdr:colOff>
      <xdr:row>63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  <xdr:twoCellAnchor editAs="oneCell">
    <xdr:from>
      <xdr:col>8</xdr:col>
      <xdr:colOff>76200</xdr:colOff>
      <xdr:row>160</xdr:row>
      <xdr:rowOff>0</xdr:rowOff>
    </xdr:from>
    <xdr:to>
      <xdr:col>16</xdr:col>
      <xdr:colOff>0</xdr:colOff>
      <xdr:row>178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EEC24E-F29E-D44D-8D3E-7FDBD4A9BADD}" name="tblTasks" displayName="tblTasks" ref="A4:U54" totalsRowShown="0" headerRowDxfId="83" dataDxfId="66">
  <autoFilter ref="A4:U54" xr:uid="{7FEEC24E-F29E-D44D-8D3E-7FDBD4A9BADD}"/>
  <tableColumns count="21">
    <tableColumn id="1" xr3:uid="{70DA4EDB-C263-EC43-857D-2DAA188BE378}" name="Task ID" dataDxfId="82">
      <calculatedColumnFormula>IF(tblTasks[[#This Row],[Task Assigned]]="","","T-"&amp;TEXT(ROW()-ROW(tblTasks[[#Headers],[Task ID]]),"000"))</calculatedColumnFormula>
    </tableColumn>
    <tableColumn id="2" xr3:uid="{ED9832E8-3513-B943-8AE5-FB4B4DB1556B}" name="Task Assigned" dataDxfId="65"/>
    <tableColumn id="3" xr3:uid="{361374C1-EF32-784D-9B7E-D5BE52481849}" name="Project" dataDxfId="81"/>
    <tableColumn id="4" xr3:uid="{4EE83B74-9F8A-E744-93FD-24B7E7E2E5EF}" name="PM (Project Lead)" dataDxfId="63">
      <calculatedColumnFormula>IF(tblTasks[[#This Row],[Project]]="","",IFERROR(INDEX(Settings!$G$5:$G$34,MATCH(tblTasks[[#This Row],[Project]],Settings!$F$5:$F$34,0)),"Not mapped"))</calculatedColumnFormula>
    </tableColumn>
    <tableColumn id="5" xr3:uid="{E89F303A-3E5F-FC46-BC72-A32950DA5FCC}" name="Designer" dataDxfId="80"/>
    <tableColumn id="6" xr3:uid="{CBF58126-31F6-2245-8A94-61FFA1A6E007}" name="Priority" dataDxfId="79"/>
    <tableColumn id="7" xr3:uid="{2EB7730A-38B6-194B-8649-A543191FFC46}" name="Start Date" dataDxfId="78"/>
    <tableColumn id="8" xr3:uid="{CFC43736-8CCE-C443-85E2-3C26A5A56597}" name="Target End Date" dataDxfId="77"/>
    <tableColumn id="20" xr3:uid="{47F124CE-558C-244C-A2FD-1E551C31E7FF}" name="Estimated Effort (Hrs)" dataDxfId="30"/>
    <tableColumn id="9" xr3:uid="{DF359832-9BF5-6F4F-A4C3-C7D57D0F466F}" name="Status" dataDxfId="76"/>
    <tableColumn id="10" xr3:uid="{8B3E1594-0AB2-1346-BDB7-880544EFC535}" name="Actual End Date" dataDxfId="75"/>
    <tableColumn id="11" xr3:uid="{E14D2274-8A04-BE4B-98FC-538EA8CA1025}" name="Revision Rounds" dataDxfId="74"/>
    <tableColumn id="12" xr3:uid="{0BF15C09-08AA-1845-8BC0-3806BFBB17D0}" name="Dependencies / Blockers" dataDxfId="64"/>
    <tableColumn id="13" xr3:uid="{94D0C0DF-4A3F-F845-A89B-40B9F82B24A4}" name="TAT (Working Days)" dataDxfId="73">
      <calculatedColumnFormula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calculatedColumnFormula>
    </tableColumn>
    <tableColumn id="14" xr3:uid="{8E5C8B9A-83DC-5740-9E3C-B283A543BDBF}" name="Planned (Working Days)" dataDxfId="72">
      <calculatedColumnFormula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calculatedColumnFormula>
    </tableColumn>
    <tableColumn id="15" xr3:uid="{7F44DECD-6E58-7B44-8695-7B3EE74258D4}" name="Variance vs Plan (Days)" dataDxfId="71">
      <calculatedColumnFormula>IF(OR(tblTasks[[#This Row],[Actual End Date]]="",tblTasks[[#This Row],[TAT (Working Days)]]="",tblTasks[[#This Row],[Planned (Working Days)]]=""),"",tblTasks[[#This Row],[TAT (Working Days)]]-tblTasks[[#This Row],[Planned (Working Days)]])</calculatedColumnFormula>
    </tableColumn>
    <tableColumn id="16" xr3:uid="{3BDE9990-2A60-D840-B4B0-952F61186009}" name="Delivery Status" dataDxfId="70">
      <calculatedColumnFormula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calculatedColumnFormula>
    </tableColumn>
    <tableColumn id="17" xr3:uid="{F97C6AF7-A86B-1349-BDE2-1CC35C2B9F7D}" name="Speed Score" dataDxfId="69">
      <calculatedColumnFormula>IF(OR(tblTasks[[#This Row],[Actual End Date]]="",tblTasks[[#This Row],[TAT (Working Days)]]="",tblTasks[[#This Row],[Planned (Working Days)]]=""),"",100*MIN(1,tblTasks[[#This Row],[Planned (Working Days)]]/MAX(tblTasks[[#This Row],[TAT (Working Days)]],1)))</calculatedColumnFormula>
    </tableColumn>
    <tableColumn id="18" xr3:uid="{95D53332-32C7-364E-B42F-AA888A6B2D77}" name="Quality Score" dataDxfId="68">
      <calculatedColumnFormula>IF(tblTasks[[#This Row],[Actual End Date]]="","",100*MAX(0,1-N(tblTasks[[#This Row],[Revision Rounds]])/Settings!$J$9))</calculatedColumnFormula>
    </tableColumn>
    <tableColumn id="19" xr3:uid="{A7EF3E42-DE7B-CB4D-96F2-3D0A5D2B4B93}" name="Task Score" dataDxfId="67">
      <calculatedColumnFormula>IF(OR(tblTasks[[#This Row],[Speed Score]]="",tblTasks[[#This Row],[Quality Score]]=""),"",(Settings!$J$5*tblTasks[[#This Row],[Speed Score]]+Settings!$J$6*tblTasks[[#This Row],[Quality Score]])/(Settings!$J$5+Settings!$J$6))</calculatedColumnFormula>
    </tableColumn>
    <tableColumn id="21" xr3:uid="{402E74FE-EBA5-8245-9C1C-D52C6C1A49D4}" name="Hours per Working Day" dataDxfId="31">
      <calculatedColumnFormula>IF(OR(tblTasks[[#This Row],[Estimated Effort (Hrs)]]="",tblTasks[[#This Row],[Planned (Working Days)]]=""),"",IF(tblTasks[[#This Row],[Planned (Working Days)]]=0,"",tblTasks[[#This Row],[Estimated Effort (Hrs)]]/tblTasks[[#This Row],[Planned (Working Days)]]))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9E43D1-0F67-E841-AC3D-A8379940D33E}" name="tblLeave" displayName="tblLeave" ref="A4:F54" totalsRowShown="0" headerRowDxfId="62">
  <autoFilter ref="A4:F54" xr:uid="{999E43D1-0F67-E841-AC3D-A8379940D33E}"/>
  <tableColumns count="6">
    <tableColumn id="1" xr3:uid="{66451ED8-CC2E-F243-A681-DC3CA74197AE}" name="Designer" dataDxfId="59"/>
    <tableColumn id="2" xr3:uid="{A932CE6A-0449-6740-B4D2-1EC6361F4AEF}" name="From" dataDxfId="58"/>
    <tableColumn id="3" xr3:uid="{515AB6C4-4634-604B-A5D6-01693C3290DA}" name="To" dataDxfId="57"/>
    <tableColumn id="4" xr3:uid="{8DF8E21A-E564-C24E-87B7-4A4569AECA2D}" name="Type" dataDxfId="56"/>
    <tableColumn id="5" xr3:uid="{2949EF0A-59BE-EF42-8330-9A9F9348C973}" name="Note" dataDxfId="55"/>
    <tableColumn id="6" xr3:uid="{F9AD0BCB-BCC5-6E44-90E4-D1CB6FC4E5B3}" name="Working Days Off" dataDxfId="60">
      <calculatedColumnFormula>IF(OR(tblLeave[[#This Row],[From]]="",tblLeave[[#This Row],[To]]=""),"",NETWORKDAYS.INTL(tblLeave[[#This Row],[From]],tblLeave[[#This Row],[To]],Settings!$J$19,tblHolidays[Holiday Date]))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34DC96-EF07-774D-90BF-1A09DB158710}" name="tblHolidays" displayName="tblHolidays" ref="H4:I34" totalsRowShown="0" headerRowDxfId="61" dataDxfId="52">
  <autoFilter ref="H4:I34" xr:uid="{F434DC96-EF07-774D-90BF-1A09DB158710}"/>
  <tableColumns count="2">
    <tableColumn id="1" xr3:uid="{08A3DE20-057E-3C40-B0C7-EB7FA2B21EE7}" name="Holiday Date" dataDxfId="54"/>
    <tableColumn id="2" xr3:uid="{08FB5DAD-1032-9A47-94FD-60186AD65B43}" name="Holiday" dataDxfId="5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E38EFC-F760-F049-AF12-470FA717C97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b5db928-7d76-4dbc-8817-786fc9d9720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B1A1-6A45-FC4D-8E56-12DD28870A88}">
  <dimension ref="A1:U504"/>
  <sheetViews>
    <sheetView showGridLines="0" tabSelected="1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16" sqref="L16"/>
    </sheetView>
  </sheetViews>
  <sheetFormatPr baseColWidth="10" defaultRowHeight="16" x14ac:dyDescent="0.2"/>
  <cols>
    <col min="1" max="1" width="8.33203125" customWidth="1"/>
    <col min="2" max="2" width="36.6640625" customWidth="1"/>
    <col min="3" max="3" width="20" customWidth="1"/>
    <col min="4" max="4" width="15" customWidth="1"/>
    <col min="5" max="5" width="13.33203125" customWidth="1"/>
    <col min="7" max="7" width="13.33203125" customWidth="1"/>
    <col min="8" max="8" width="14.1640625" customWidth="1"/>
    <col min="9" max="9" width="13.33203125" customWidth="1"/>
    <col min="10" max="11" width="14.1640625" customWidth="1"/>
    <col min="12" max="12" width="11.6640625" customWidth="1"/>
    <col min="13" max="13" width="43.33203125" customWidth="1"/>
    <col min="14" max="14" width="13.33203125" customWidth="1"/>
    <col min="15" max="16" width="14.1640625" customWidth="1"/>
    <col min="17" max="17" width="16.6640625" customWidth="1"/>
    <col min="18" max="20" width="10.83203125" customWidth="1"/>
    <col min="21" max="21" width="12.5" customWidth="1"/>
  </cols>
  <sheetData>
    <row r="1" spans="1:21" ht="22" x14ac:dyDescent="0.3">
      <c r="A1" s="4" t="s">
        <v>11</v>
      </c>
    </row>
    <row r="2" spans="1:21" x14ac:dyDescent="0.2">
      <c r="A2" s="3" t="s">
        <v>100</v>
      </c>
    </row>
    <row r="3" spans="1:21" x14ac:dyDescent="0.2">
      <c r="A3" s="30"/>
      <c r="B3" s="30" t="s">
        <v>57</v>
      </c>
      <c r="C3" s="30"/>
      <c r="D3" s="30"/>
      <c r="E3" s="30"/>
      <c r="F3" s="30"/>
      <c r="G3" s="30"/>
      <c r="H3" s="30"/>
      <c r="I3" s="30"/>
      <c r="J3" s="31" t="s">
        <v>58</v>
      </c>
      <c r="K3" s="31"/>
      <c r="L3" s="31"/>
      <c r="M3" s="31"/>
      <c r="N3" s="32" t="s">
        <v>59</v>
      </c>
      <c r="O3" s="32"/>
      <c r="P3" s="32"/>
      <c r="Q3" s="32"/>
      <c r="R3" s="32"/>
      <c r="S3" s="32"/>
      <c r="T3" s="32"/>
      <c r="U3" s="32"/>
    </row>
    <row r="4" spans="1:21" ht="34" customHeight="1" x14ac:dyDescent="0.2">
      <c r="A4" s="6" t="s">
        <v>12</v>
      </c>
      <c r="B4" s="5" t="s">
        <v>13</v>
      </c>
      <c r="C4" s="5" t="s">
        <v>15</v>
      </c>
      <c r="D4" s="5" t="s">
        <v>60</v>
      </c>
      <c r="E4" s="5" t="s">
        <v>14</v>
      </c>
      <c r="F4" s="5" t="s">
        <v>2</v>
      </c>
      <c r="G4" s="5" t="s">
        <v>16</v>
      </c>
      <c r="H4" s="5" t="s">
        <v>17</v>
      </c>
      <c r="I4" s="5" t="s">
        <v>98</v>
      </c>
      <c r="J4" s="33" t="s">
        <v>1</v>
      </c>
      <c r="K4" s="33" t="s">
        <v>18</v>
      </c>
      <c r="L4" s="33" t="s">
        <v>23</v>
      </c>
      <c r="M4" s="33" t="s">
        <v>24</v>
      </c>
      <c r="N4" s="6" t="s">
        <v>19</v>
      </c>
      <c r="O4" s="6" t="s">
        <v>20</v>
      </c>
      <c r="P4" s="6" t="s">
        <v>21</v>
      </c>
      <c r="Q4" s="6" t="s">
        <v>22</v>
      </c>
      <c r="R4" s="6" t="s">
        <v>61</v>
      </c>
      <c r="S4" s="6" t="s">
        <v>62</v>
      </c>
      <c r="T4" s="6" t="s">
        <v>63</v>
      </c>
      <c r="U4" s="6" t="s">
        <v>99</v>
      </c>
    </row>
    <row r="5" spans="1:21" x14ac:dyDescent="0.2">
      <c r="A5" s="9" t="str">
        <f>IF(tblTasks[[#This Row],[Task Assigned]]="","","T-"&amp;TEXT(ROW()-ROW(tblTasks[[#Headers],[Task ID]]),"000"))</f>
        <v/>
      </c>
      <c r="B5" s="14"/>
      <c r="C5" s="10"/>
      <c r="D5" s="9" t="str">
        <f>IF(tblTasks[[#This Row],[Project]]="","",IFERROR(INDEX(Settings!$G$5:$G$34,MATCH(tblTasks[[#This Row],[Project]],Settings!$F$5:$F$34,0)),"Not mapped"))</f>
        <v/>
      </c>
      <c r="E5" s="9"/>
      <c r="F5" s="9"/>
      <c r="G5" s="11"/>
      <c r="H5" s="11"/>
      <c r="I5" s="61"/>
      <c r="J5" s="9"/>
      <c r="K5" s="11"/>
      <c r="L5" s="9"/>
      <c r="M5" s="14"/>
      <c r="N5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5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5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5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5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5" s="12" t="str">
        <f>IF(tblTasks[[#This Row],[Actual End Date]]="","",100*MAX(0,1-N(tblTasks[[#This Row],[Revision Rounds]])/Settings!$J$9))</f>
        <v/>
      </c>
      <c r="T5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5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6" spans="1:21" x14ac:dyDescent="0.2">
      <c r="A6" s="9" t="str">
        <f>IF(tblTasks[[#This Row],[Task Assigned]]="","","T-"&amp;TEXT(ROW()-ROW(tblTasks[[#Headers],[Task ID]]),"000"))</f>
        <v/>
      </c>
      <c r="B6" s="14"/>
      <c r="C6" s="10"/>
      <c r="D6" s="57" t="str">
        <f>IF(tblTasks[[#This Row],[Project]]="","",IFERROR(INDEX(Settings!$G$5:$G$34,MATCH(tblTasks[[#This Row],[Project]],Settings!$F$5:$F$34,0)),"Not mapped"))</f>
        <v/>
      </c>
      <c r="E6" s="9"/>
      <c r="F6" s="9"/>
      <c r="G6" s="11"/>
      <c r="H6" s="11"/>
      <c r="I6" s="61"/>
      <c r="J6" s="9"/>
      <c r="K6" s="11"/>
      <c r="L6" s="9"/>
      <c r="M6" s="14"/>
      <c r="N6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6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6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6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6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6" s="12" t="str">
        <f>IF(tblTasks[[#This Row],[Actual End Date]]="","",100*MAX(0,1-N(tblTasks[[#This Row],[Revision Rounds]])/Settings!$J$9))</f>
        <v/>
      </c>
      <c r="T6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6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7" spans="1:21" x14ac:dyDescent="0.2">
      <c r="A7" s="9" t="str">
        <f>IF(tblTasks[[#This Row],[Task Assigned]]="","","T-"&amp;TEXT(ROW()-ROW(tblTasks[[#Headers],[Task ID]]),"000"))</f>
        <v/>
      </c>
      <c r="B7" s="14"/>
      <c r="C7" s="10"/>
      <c r="D7" s="57" t="str">
        <f>IF(tblTasks[[#This Row],[Project]]="","",IFERROR(INDEX(Settings!$G$5:$G$34,MATCH(tblTasks[[#This Row],[Project]],Settings!$F$5:$F$34,0)),"Not mapped"))</f>
        <v/>
      </c>
      <c r="E7" s="9"/>
      <c r="F7" s="9"/>
      <c r="G7" s="11"/>
      <c r="H7" s="11"/>
      <c r="I7" s="61"/>
      <c r="J7" s="9"/>
      <c r="K7" s="11"/>
      <c r="L7" s="9"/>
      <c r="M7" s="14"/>
      <c r="N7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7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7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7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7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7" s="12" t="str">
        <f>IF(tblTasks[[#This Row],[Actual End Date]]="","",100*MAX(0,1-N(tblTasks[[#This Row],[Revision Rounds]])/Settings!$J$9))</f>
        <v/>
      </c>
      <c r="T7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7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8" spans="1:21" x14ac:dyDescent="0.2">
      <c r="A8" s="9" t="str">
        <f>IF(tblTasks[[#This Row],[Task Assigned]]="","","T-"&amp;TEXT(ROW()-ROW(tblTasks[[#Headers],[Task ID]]),"000"))</f>
        <v/>
      </c>
      <c r="B8" s="14"/>
      <c r="C8" s="10"/>
      <c r="D8" s="57" t="str">
        <f>IF(tblTasks[[#This Row],[Project]]="","",IFERROR(INDEX(Settings!$G$5:$G$34,MATCH(tblTasks[[#This Row],[Project]],Settings!$F$5:$F$34,0)),"Not mapped"))</f>
        <v/>
      </c>
      <c r="E8" s="9"/>
      <c r="F8" s="9"/>
      <c r="G8" s="11"/>
      <c r="H8" s="11"/>
      <c r="I8" s="61"/>
      <c r="J8" s="9"/>
      <c r="K8" s="11"/>
      <c r="L8" s="9"/>
      <c r="M8" s="14"/>
      <c r="N8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8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8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8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8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8" s="12" t="str">
        <f>IF(tblTasks[[#This Row],[Actual End Date]]="","",100*MAX(0,1-N(tblTasks[[#This Row],[Revision Rounds]])/Settings!$J$9))</f>
        <v/>
      </c>
      <c r="T8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8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9" spans="1:21" x14ac:dyDescent="0.2">
      <c r="A9" s="9" t="str">
        <f>IF(tblTasks[[#This Row],[Task Assigned]]="","","T-"&amp;TEXT(ROW()-ROW(tblTasks[[#Headers],[Task ID]]),"000"))</f>
        <v/>
      </c>
      <c r="B9" s="14"/>
      <c r="C9" s="10"/>
      <c r="D9" s="57" t="str">
        <f>IF(tblTasks[[#This Row],[Project]]="","",IFERROR(INDEX(Settings!$G$5:$G$34,MATCH(tblTasks[[#This Row],[Project]],Settings!$F$5:$F$34,0)),"Not mapped"))</f>
        <v/>
      </c>
      <c r="E9" s="9"/>
      <c r="F9" s="9"/>
      <c r="G9" s="11"/>
      <c r="H9" s="11"/>
      <c r="I9" s="61"/>
      <c r="J9" s="9"/>
      <c r="K9" s="11"/>
      <c r="L9" s="9"/>
      <c r="M9" s="14"/>
      <c r="N9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9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9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9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9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9" s="12" t="str">
        <f>IF(tblTasks[[#This Row],[Actual End Date]]="","",100*MAX(0,1-N(tblTasks[[#This Row],[Revision Rounds]])/Settings!$J$9))</f>
        <v/>
      </c>
      <c r="T9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9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0" spans="1:21" x14ac:dyDescent="0.2">
      <c r="A10" s="9" t="str">
        <f>IF(tblTasks[[#This Row],[Task Assigned]]="","","T-"&amp;TEXT(ROW()-ROW(tblTasks[[#Headers],[Task ID]]),"000"))</f>
        <v/>
      </c>
      <c r="B10" s="14"/>
      <c r="C10" s="10"/>
      <c r="D10" s="57" t="str">
        <f>IF(tblTasks[[#This Row],[Project]]="","",IFERROR(INDEX(Settings!$G$5:$G$34,MATCH(tblTasks[[#This Row],[Project]],Settings!$F$5:$F$34,0)),"Not mapped"))</f>
        <v/>
      </c>
      <c r="E10" s="9"/>
      <c r="F10" s="9"/>
      <c r="G10" s="11"/>
      <c r="H10" s="11"/>
      <c r="I10" s="61"/>
      <c r="J10" s="9"/>
      <c r="K10" s="11"/>
      <c r="L10" s="9"/>
      <c r="M10" s="14"/>
      <c r="N10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0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0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0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0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0" s="12" t="str">
        <f>IF(tblTasks[[#This Row],[Actual End Date]]="","",100*MAX(0,1-N(tblTasks[[#This Row],[Revision Rounds]])/Settings!$J$9))</f>
        <v/>
      </c>
      <c r="T10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0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1" spans="1:21" x14ac:dyDescent="0.2">
      <c r="A11" s="9" t="str">
        <f>IF(tblTasks[[#This Row],[Task Assigned]]="","","T-"&amp;TEXT(ROW()-ROW(tblTasks[[#Headers],[Task ID]]),"000"))</f>
        <v/>
      </c>
      <c r="B11" s="14"/>
      <c r="C11" s="10"/>
      <c r="D11" s="57" t="str">
        <f>IF(tblTasks[[#This Row],[Project]]="","",IFERROR(INDEX(Settings!$G$5:$G$34,MATCH(tblTasks[[#This Row],[Project]],Settings!$F$5:$F$34,0)),"Not mapped"))</f>
        <v/>
      </c>
      <c r="E11" s="9"/>
      <c r="F11" s="9"/>
      <c r="G11" s="11"/>
      <c r="H11" s="11"/>
      <c r="I11" s="61"/>
      <c r="J11" s="9"/>
      <c r="K11" s="11"/>
      <c r="L11" s="9"/>
      <c r="M11" s="14"/>
      <c r="N11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1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1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1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1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1" s="12" t="str">
        <f>IF(tblTasks[[#This Row],[Actual End Date]]="","",100*MAX(0,1-N(tblTasks[[#This Row],[Revision Rounds]])/Settings!$J$9))</f>
        <v/>
      </c>
      <c r="T11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1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2" spans="1:21" x14ac:dyDescent="0.2">
      <c r="A12" s="9" t="str">
        <f>IF(tblTasks[[#This Row],[Task Assigned]]="","","T-"&amp;TEXT(ROW()-ROW(tblTasks[[#Headers],[Task ID]]),"000"))</f>
        <v/>
      </c>
      <c r="B12" s="14"/>
      <c r="C12" s="10"/>
      <c r="D12" s="57" t="str">
        <f>IF(tblTasks[[#This Row],[Project]]="","",IFERROR(INDEX(Settings!$G$5:$G$34,MATCH(tblTasks[[#This Row],[Project]],Settings!$F$5:$F$34,0)),"Not mapped"))</f>
        <v/>
      </c>
      <c r="E12" s="9"/>
      <c r="F12" s="9"/>
      <c r="G12" s="11"/>
      <c r="H12" s="11"/>
      <c r="I12" s="61"/>
      <c r="J12" s="9"/>
      <c r="K12" s="11"/>
      <c r="L12" s="9"/>
      <c r="M12" s="14"/>
      <c r="N12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2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2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2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2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2" s="12" t="str">
        <f>IF(tblTasks[[#This Row],[Actual End Date]]="","",100*MAX(0,1-N(tblTasks[[#This Row],[Revision Rounds]])/Settings!$J$9))</f>
        <v/>
      </c>
      <c r="T12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2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3" spans="1:21" x14ac:dyDescent="0.2">
      <c r="A13" s="9" t="str">
        <f>IF(tblTasks[[#This Row],[Task Assigned]]="","","T-"&amp;TEXT(ROW()-ROW(tblTasks[[#Headers],[Task ID]]),"000"))</f>
        <v/>
      </c>
      <c r="B13" s="14"/>
      <c r="C13" s="10"/>
      <c r="D13" s="57" t="str">
        <f>IF(tblTasks[[#This Row],[Project]]="","",IFERROR(INDEX(Settings!$G$5:$G$34,MATCH(tblTasks[[#This Row],[Project]],Settings!$F$5:$F$34,0)),"Not mapped"))</f>
        <v/>
      </c>
      <c r="E13" s="9"/>
      <c r="F13" s="9"/>
      <c r="G13" s="11"/>
      <c r="H13" s="11"/>
      <c r="I13" s="61"/>
      <c r="J13" s="9"/>
      <c r="K13" s="11"/>
      <c r="L13" s="9"/>
      <c r="M13" s="14"/>
      <c r="N13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3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3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3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3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3" s="12" t="str">
        <f>IF(tblTasks[[#This Row],[Actual End Date]]="","",100*MAX(0,1-N(tblTasks[[#This Row],[Revision Rounds]])/Settings!$J$9))</f>
        <v/>
      </c>
      <c r="T13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3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4" spans="1:21" x14ac:dyDescent="0.2">
      <c r="A14" s="9" t="str">
        <f>IF(tblTasks[[#This Row],[Task Assigned]]="","","T-"&amp;TEXT(ROW()-ROW(tblTasks[[#Headers],[Task ID]]),"000"))</f>
        <v/>
      </c>
      <c r="B14" s="14"/>
      <c r="C14" s="10"/>
      <c r="D14" s="57" t="str">
        <f>IF(tblTasks[[#This Row],[Project]]="","",IFERROR(INDEX(Settings!$G$5:$G$34,MATCH(tblTasks[[#This Row],[Project]],Settings!$F$5:$F$34,0)),"Not mapped"))</f>
        <v/>
      </c>
      <c r="E14" s="9"/>
      <c r="F14" s="9"/>
      <c r="G14" s="11"/>
      <c r="H14" s="11"/>
      <c r="I14" s="61"/>
      <c r="J14" s="9"/>
      <c r="K14" s="11"/>
      <c r="L14" s="9"/>
      <c r="M14" s="14"/>
      <c r="N14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4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4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4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4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4" s="12" t="str">
        <f>IF(tblTasks[[#This Row],[Actual End Date]]="","",100*MAX(0,1-N(tblTasks[[#This Row],[Revision Rounds]])/Settings!$J$9))</f>
        <v/>
      </c>
      <c r="T14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4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5" spans="1:21" x14ac:dyDescent="0.2">
      <c r="A15" s="9" t="str">
        <f>IF(tblTasks[[#This Row],[Task Assigned]]="","","T-"&amp;TEXT(ROW()-ROW(tblTasks[[#Headers],[Task ID]]),"000"))</f>
        <v/>
      </c>
      <c r="B15" s="14"/>
      <c r="C15" s="10"/>
      <c r="D15" s="57" t="str">
        <f>IF(tblTasks[[#This Row],[Project]]="","",IFERROR(INDEX(Settings!$G$5:$G$34,MATCH(tblTasks[[#This Row],[Project]],Settings!$F$5:$F$34,0)),"Not mapped"))</f>
        <v/>
      </c>
      <c r="E15" s="9"/>
      <c r="F15" s="9"/>
      <c r="G15" s="11"/>
      <c r="H15" s="11"/>
      <c r="I15" s="61"/>
      <c r="J15" s="9"/>
      <c r="K15" s="11"/>
      <c r="L15" s="9"/>
      <c r="M15" s="14"/>
      <c r="N15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5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5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5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5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5" s="12" t="str">
        <f>IF(tblTasks[[#This Row],[Actual End Date]]="","",100*MAX(0,1-N(tblTasks[[#This Row],[Revision Rounds]])/Settings!$J$9))</f>
        <v/>
      </c>
      <c r="T15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5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6" spans="1:21" x14ac:dyDescent="0.2">
      <c r="A16" s="9" t="str">
        <f>IF(tblTasks[[#This Row],[Task Assigned]]="","","T-"&amp;TEXT(ROW()-ROW(tblTasks[[#Headers],[Task ID]]),"000"))</f>
        <v/>
      </c>
      <c r="B16" s="14"/>
      <c r="C16" s="10"/>
      <c r="D16" s="57" t="str">
        <f>IF(tblTasks[[#This Row],[Project]]="","",IFERROR(INDEX(Settings!$G$5:$G$34,MATCH(tblTasks[[#This Row],[Project]],Settings!$F$5:$F$34,0)),"Not mapped"))</f>
        <v/>
      </c>
      <c r="E16" s="9"/>
      <c r="F16" s="9"/>
      <c r="G16" s="11"/>
      <c r="H16" s="11"/>
      <c r="I16" s="61"/>
      <c r="J16" s="9"/>
      <c r="K16" s="11"/>
      <c r="L16" s="9"/>
      <c r="M16" s="14"/>
      <c r="N16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6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6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6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6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6" s="12" t="str">
        <f>IF(tblTasks[[#This Row],[Actual End Date]]="","",100*MAX(0,1-N(tblTasks[[#This Row],[Revision Rounds]])/Settings!$J$9))</f>
        <v/>
      </c>
      <c r="T16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6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7" spans="1:21" x14ac:dyDescent="0.2">
      <c r="A17" s="9" t="str">
        <f>IF(tblTasks[[#This Row],[Task Assigned]]="","","T-"&amp;TEXT(ROW()-ROW(tblTasks[[#Headers],[Task ID]]),"000"))</f>
        <v/>
      </c>
      <c r="B17" s="14"/>
      <c r="C17" s="10"/>
      <c r="D17" s="57" t="str">
        <f>IF(tblTasks[[#This Row],[Project]]="","",IFERROR(INDEX(Settings!$G$5:$G$34,MATCH(tblTasks[[#This Row],[Project]],Settings!$F$5:$F$34,0)),"Not mapped"))</f>
        <v/>
      </c>
      <c r="E17" s="9"/>
      <c r="F17" s="9"/>
      <c r="G17" s="11"/>
      <c r="H17" s="11"/>
      <c r="I17" s="61"/>
      <c r="J17" s="9"/>
      <c r="K17" s="11"/>
      <c r="L17" s="9"/>
      <c r="M17" s="14"/>
      <c r="N17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7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7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7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7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7" s="12" t="str">
        <f>IF(tblTasks[[#This Row],[Actual End Date]]="","",100*MAX(0,1-N(tblTasks[[#This Row],[Revision Rounds]])/Settings!$J$9))</f>
        <v/>
      </c>
      <c r="T17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7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8" spans="1:21" x14ac:dyDescent="0.2">
      <c r="A18" s="9" t="str">
        <f>IF(tblTasks[[#This Row],[Task Assigned]]="","","T-"&amp;TEXT(ROW()-ROW(tblTasks[[#Headers],[Task ID]]),"000"))</f>
        <v/>
      </c>
      <c r="B18" s="14"/>
      <c r="C18" s="10"/>
      <c r="D18" s="57" t="str">
        <f>IF(tblTasks[[#This Row],[Project]]="","",IFERROR(INDEX(Settings!$G$5:$G$34,MATCH(tblTasks[[#This Row],[Project]],Settings!$F$5:$F$34,0)),"Not mapped"))</f>
        <v/>
      </c>
      <c r="E18" s="9"/>
      <c r="F18" s="9"/>
      <c r="G18" s="11"/>
      <c r="H18" s="11"/>
      <c r="I18" s="61"/>
      <c r="J18" s="9"/>
      <c r="K18" s="11"/>
      <c r="L18" s="9"/>
      <c r="M18" s="14"/>
      <c r="N18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8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8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8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8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8" s="12" t="str">
        <f>IF(tblTasks[[#This Row],[Actual End Date]]="","",100*MAX(0,1-N(tblTasks[[#This Row],[Revision Rounds]])/Settings!$J$9))</f>
        <v/>
      </c>
      <c r="T18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8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19" spans="1:21" x14ac:dyDescent="0.2">
      <c r="A19" s="9" t="str">
        <f>IF(tblTasks[[#This Row],[Task Assigned]]="","","T-"&amp;TEXT(ROW()-ROW(tblTasks[[#Headers],[Task ID]]),"000"))</f>
        <v/>
      </c>
      <c r="B19" s="14"/>
      <c r="C19" s="10"/>
      <c r="D19" s="57" t="str">
        <f>IF(tblTasks[[#This Row],[Project]]="","",IFERROR(INDEX(Settings!$G$5:$G$34,MATCH(tblTasks[[#This Row],[Project]],Settings!$F$5:$F$34,0)),"Not mapped"))</f>
        <v/>
      </c>
      <c r="E19" s="9"/>
      <c r="F19" s="9"/>
      <c r="G19" s="11"/>
      <c r="H19" s="11"/>
      <c r="I19" s="61"/>
      <c r="J19" s="9"/>
      <c r="K19" s="11"/>
      <c r="L19" s="9"/>
      <c r="M19" s="14"/>
      <c r="N19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19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19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19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19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19" s="12" t="str">
        <f>IF(tblTasks[[#This Row],[Actual End Date]]="","",100*MAX(0,1-N(tblTasks[[#This Row],[Revision Rounds]])/Settings!$J$9))</f>
        <v/>
      </c>
      <c r="T19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19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0" spans="1:21" x14ac:dyDescent="0.2">
      <c r="A20" s="9" t="str">
        <f>IF(tblTasks[[#This Row],[Task Assigned]]="","","T-"&amp;TEXT(ROW()-ROW(tblTasks[[#Headers],[Task ID]]),"000"))</f>
        <v/>
      </c>
      <c r="B20" s="14"/>
      <c r="C20" s="10"/>
      <c r="D20" s="57" t="str">
        <f>IF(tblTasks[[#This Row],[Project]]="","",IFERROR(INDEX(Settings!$G$5:$G$34,MATCH(tblTasks[[#This Row],[Project]],Settings!$F$5:$F$34,0)),"Not mapped"))</f>
        <v/>
      </c>
      <c r="E20" s="9"/>
      <c r="F20" s="9"/>
      <c r="G20" s="11"/>
      <c r="H20" s="11"/>
      <c r="I20" s="61"/>
      <c r="J20" s="9"/>
      <c r="K20" s="11"/>
      <c r="L20" s="9"/>
      <c r="M20" s="14"/>
      <c r="N20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0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0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0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0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0" s="12" t="str">
        <f>IF(tblTasks[[#This Row],[Actual End Date]]="","",100*MAX(0,1-N(tblTasks[[#This Row],[Revision Rounds]])/Settings!$J$9))</f>
        <v/>
      </c>
      <c r="T20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0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1" spans="1:21" x14ac:dyDescent="0.2">
      <c r="A21" s="9" t="str">
        <f>IF(tblTasks[[#This Row],[Task Assigned]]="","","T-"&amp;TEXT(ROW()-ROW(tblTasks[[#Headers],[Task ID]]),"000"))</f>
        <v/>
      </c>
      <c r="B21" s="14"/>
      <c r="C21" s="10"/>
      <c r="D21" s="57" t="str">
        <f>IF(tblTasks[[#This Row],[Project]]="","",IFERROR(INDEX(Settings!$G$5:$G$34,MATCH(tblTasks[[#This Row],[Project]],Settings!$F$5:$F$34,0)),"Not mapped"))</f>
        <v/>
      </c>
      <c r="E21" s="9"/>
      <c r="F21" s="9"/>
      <c r="G21" s="11"/>
      <c r="H21" s="11"/>
      <c r="I21" s="61"/>
      <c r="J21" s="9"/>
      <c r="K21" s="11"/>
      <c r="L21" s="9"/>
      <c r="M21" s="14"/>
      <c r="N21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1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1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1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1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1" s="12" t="str">
        <f>IF(tblTasks[[#This Row],[Actual End Date]]="","",100*MAX(0,1-N(tblTasks[[#This Row],[Revision Rounds]])/Settings!$J$9))</f>
        <v/>
      </c>
      <c r="T21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1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2" spans="1:21" x14ac:dyDescent="0.2">
      <c r="A22" s="9" t="str">
        <f>IF(tblTasks[[#This Row],[Task Assigned]]="","","T-"&amp;TEXT(ROW()-ROW(tblTasks[[#Headers],[Task ID]]),"000"))</f>
        <v/>
      </c>
      <c r="B22" s="14"/>
      <c r="C22" s="10"/>
      <c r="D22" s="57" t="str">
        <f>IF(tblTasks[[#This Row],[Project]]="","",IFERROR(INDEX(Settings!$G$5:$G$34,MATCH(tblTasks[[#This Row],[Project]],Settings!$F$5:$F$34,0)),"Not mapped"))</f>
        <v/>
      </c>
      <c r="E22" s="9"/>
      <c r="F22" s="9"/>
      <c r="G22" s="11"/>
      <c r="H22" s="11"/>
      <c r="I22" s="61"/>
      <c r="J22" s="9"/>
      <c r="K22" s="11"/>
      <c r="L22" s="9"/>
      <c r="M22" s="14"/>
      <c r="N22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2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2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2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2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2" s="12" t="str">
        <f>IF(tblTasks[[#This Row],[Actual End Date]]="","",100*MAX(0,1-N(tblTasks[[#This Row],[Revision Rounds]])/Settings!$J$9))</f>
        <v/>
      </c>
      <c r="T22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2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3" spans="1:21" x14ac:dyDescent="0.2">
      <c r="A23" s="9" t="str">
        <f>IF(tblTasks[[#This Row],[Task Assigned]]="","","T-"&amp;TEXT(ROW()-ROW(tblTasks[[#Headers],[Task ID]]),"000"))</f>
        <v/>
      </c>
      <c r="B23" s="14"/>
      <c r="C23" s="10"/>
      <c r="D23" s="57" t="str">
        <f>IF(tblTasks[[#This Row],[Project]]="","",IFERROR(INDEX(Settings!$G$5:$G$34,MATCH(tblTasks[[#This Row],[Project]],Settings!$F$5:$F$34,0)),"Not mapped"))</f>
        <v/>
      </c>
      <c r="E23" s="9"/>
      <c r="F23" s="9"/>
      <c r="G23" s="11"/>
      <c r="H23" s="11"/>
      <c r="I23" s="61"/>
      <c r="J23" s="9"/>
      <c r="K23" s="11"/>
      <c r="L23" s="9"/>
      <c r="M23" s="14"/>
      <c r="N23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3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3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3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3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3" s="12" t="str">
        <f>IF(tblTasks[[#This Row],[Actual End Date]]="","",100*MAX(0,1-N(tblTasks[[#This Row],[Revision Rounds]])/Settings!$J$9))</f>
        <v/>
      </c>
      <c r="T23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3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4" spans="1:21" x14ac:dyDescent="0.2">
      <c r="A24" s="9" t="str">
        <f>IF(tblTasks[[#This Row],[Task Assigned]]="","","T-"&amp;TEXT(ROW()-ROW(tblTasks[[#Headers],[Task ID]]),"000"))</f>
        <v/>
      </c>
      <c r="B24" s="14"/>
      <c r="C24" s="10"/>
      <c r="D24" s="57" t="str">
        <f>IF(tblTasks[[#This Row],[Project]]="","",IFERROR(INDEX(Settings!$G$5:$G$34,MATCH(tblTasks[[#This Row],[Project]],Settings!$F$5:$F$34,0)),"Not mapped"))</f>
        <v/>
      </c>
      <c r="E24" s="9"/>
      <c r="F24" s="9"/>
      <c r="G24" s="11"/>
      <c r="H24" s="11"/>
      <c r="I24" s="61"/>
      <c r="J24" s="9"/>
      <c r="K24" s="11"/>
      <c r="L24" s="9"/>
      <c r="M24" s="14"/>
      <c r="N24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4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4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4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4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4" s="12" t="str">
        <f>IF(tblTasks[[#This Row],[Actual End Date]]="","",100*MAX(0,1-N(tblTasks[[#This Row],[Revision Rounds]])/Settings!$J$9))</f>
        <v/>
      </c>
      <c r="T24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4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5" spans="1:21" x14ac:dyDescent="0.2">
      <c r="A25" s="9" t="str">
        <f>IF(tblTasks[[#This Row],[Task Assigned]]="","","T-"&amp;TEXT(ROW()-ROW(tblTasks[[#Headers],[Task ID]]),"000"))</f>
        <v/>
      </c>
      <c r="B25" s="14"/>
      <c r="C25" s="10"/>
      <c r="D25" s="57" t="str">
        <f>IF(tblTasks[[#This Row],[Project]]="","",IFERROR(INDEX(Settings!$G$5:$G$34,MATCH(tblTasks[[#This Row],[Project]],Settings!$F$5:$F$34,0)),"Not mapped"))</f>
        <v/>
      </c>
      <c r="E25" s="9"/>
      <c r="F25" s="9"/>
      <c r="G25" s="11"/>
      <c r="H25" s="11"/>
      <c r="I25" s="61"/>
      <c r="J25" s="9"/>
      <c r="K25" s="11"/>
      <c r="L25" s="9"/>
      <c r="M25" s="14"/>
      <c r="N25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5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5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5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5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5" s="12" t="str">
        <f>IF(tblTasks[[#This Row],[Actual End Date]]="","",100*MAX(0,1-N(tblTasks[[#This Row],[Revision Rounds]])/Settings!$J$9))</f>
        <v/>
      </c>
      <c r="T25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5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6" spans="1:21" x14ac:dyDescent="0.2">
      <c r="A26" s="9" t="str">
        <f>IF(tblTasks[[#This Row],[Task Assigned]]="","","T-"&amp;TEXT(ROW()-ROW(tblTasks[[#Headers],[Task ID]]),"000"))</f>
        <v/>
      </c>
      <c r="B26" s="14"/>
      <c r="C26" s="10"/>
      <c r="D26" s="57" t="str">
        <f>IF(tblTasks[[#This Row],[Project]]="","",IFERROR(INDEX(Settings!$G$5:$G$34,MATCH(tblTasks[[#This Row],[Project]],Settings!$F$5:$F$34,0)),"Not mapped"))</f>
        <v/>
      </c>
      <c r="E26" s="9"/>
      <c r="F26" s="9"/>
      <c r="G26" s="11"/>
      <c r="H26" s="11"/>
      <c r="I26" s="61"/>
      <c r="J26" s="9"/>
      <c r="K26" s="11"/>
      <c r="L26" s="9"/>
      <c r="M26" s="14"/>
      <c r="N26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6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6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6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6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6" s="12" t="str">
        <f>IF(tblTasks[[#This Row],[Actual End Date]]="","",100*MAX(0,1-N(tblTasks[[#This Row],[Revision Rounds]])/Settings!$J$9))</f>
        <v/>
      </c>
      <c r="T26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6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7" spans="1:21" x14ac:dyDescent="0.2">
      <c r="A27" s="9" t="str">
        <f>IF(tblTasks[[#This Row],[Task Assigned]]="","","T-"&amp;TEXT(ROW()-ROW(tblTasks[[#Headers],[Task ID]]),"000"))</f>
        <v/>
      </c>
      <c r="B27" s="14"/>
      <c r="C27" s="10"/>
      <c r="D27" s="57" t="str">
        <f>IF(tblTasks[[#This Row],[Project]]="","",IFERROR(INDEX(Settings!$G$5:$G$34,MATCH(tblTasks[[#This Row],[Project]],Settings!$F$5:$F$34,0)),"Not mapped"))</f>
        <v/>
      </c>
      <c r="E27" s="9"/>
      <c r="F27" s="9"/>
      <c r="G27" s="11"/>
      <c r="H27" s="11"/>
      <c r="I27" s="61"/>
      <c r="J27" s="9"/>
      <c r="K27" s="11"/>
      <c r="L27" s="9"/>
      <c r="M27" s="14"/>
      <c r="N27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7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7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7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7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7" s="12" t="str">
        <f>IF(tblTasks[[#This Row],[Actual End Date]]="","",100*MAX(0,1-N(tblTasks[[#This Row],[Revision Rounds]])/Settings!$J$9))</f>
        <v/>
      </c>
      <c r="T27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7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8" spans="1:21" x14ac:dyDescent="0.2">
      <c r="A28" s="9" t="str">
        <f>IF(tblTasks[[#This Row],[Task Assigned]]="","","T-"&amp;TEXT(ROW()-ROW(tblTasks[[#Headers],[Task ID]]),"000"))</f>
        <v/>
      </c>
      <c r="B28" s="14"/>
      <c r="C28" s="10"/>
      <c r="D28" s="57" t="str">
        <f>IF(tblTasks[[#This Row],[Project]]="","",IFERROR(INDEX(Settings!$G$5:$G$34,MATCH(tblTasks[[#This Row],[Project]],Settings!$F$5:$F$34,0)),"Not mapped"))</f>
        <v/>
      </c>
      <c r="E28" s="9"/>
      <c r="F28" s="9"/>
      <c r="G28" s="11"/>
      <c r="H28" s="11"/>
      <c r="I28" s="61"/>
      <c r="J28" s="9"/>
      <c r="K28" s="11"/>
      <c r="L28" s="9"/>
      <c r="M28" s="14"/>
      <c r="N28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8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8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8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8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8" s="12" t="str">
        <f>IF(tblTasks[[#This Row],[Actual End Date]]="","",100*MAX(0,1-N(tblTasks[[#This Row],[Revision Rounds]])/Settings!$J$9))</f>
        <v/>
      </c>
      <c r="T28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8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29" spans="1:21" x14ac:dyDescent="0.2">
      <c r="A29" s="9" t="str">
        <f>IF(tblTasks[[#This Row],[Task Assigned]]="","","T-"&amp;TEXT(ROW()-ROW(tblTasks[[#Headers],[Task ID]]),"000"))</f>
        <v/>
      </c>
      <c r="B29" s="14"/>
      <c r="C29" s="10"/>
      <c r="D29" s="57" t="str">
        <f>IF(tblTasks[[#This Row],[Project]]="","",IFERROR(INDEX(Settings!$G$5:$G$34,MATCH(tblTasks[[#This Row],[Project]],Settings!$F$5:$F$34,0)),"Not mapped"))</f>
        <v/>
      </c>
      <c r="E29" s="9"/>
      <c r="F29" s="9"/>
      <c r="G29" s="11"/>
      <c r="H29" s="11"/>
      <c r="I29" s="61"/>
      <c r="J29" s="9"/>
      <c r="K29" s="11"/>
      <c r="L29" s="9"/>
      <c r="M29" s="14"/>
      <c r="N29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29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29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29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29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29" s="12" t="str">
        <f>IF(tblTasks[[#This Row],[Actual End Date]]="","",100*MAX(0,1-N(tblTasks[[#This Row],[Revision Rounds]])/Settings!$J$9))</f>
        <v/>
      </c>
      <c r="T29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29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0" spans="1:21" x14ac:dyDescent="0.2">
      <c r="A30" s="9" t="str">
        <f>IF(tblTasks[[#This Row],[Task Assigned]]="","","T-"&amp;TEXT(ROW()-ROW(tblTasks[[#Headers],[Task ID]]),"000"))</f>
        <v/>
      </c>
      <c r="B30" s="14"/>
      <c r="C30" s="10"/>
      <c r="D30" s="57" t="str">
        <f>IF(tblTasks[[#This Row],[Project]]="","",IFERROR(INDEX(Settings!$G$5:$G$34,MATCH(tblTasks[[#This Row],[Project]],Settings!$F$5:$F$34,0)),"Not mapped"))</f>
        <v/>
      </c>
      <c r="E30" s="9"/>
      <c r="F30" s="9"/>
      <c r="G30" s="11"/>
      <c r="H30" s="11"/>
      <c r="I30" s="61"/>
      <c r="J30" s="9"/>
      <c r="K30" s="11"/>
      <c r="L30" s="9"/>
      <c r="M30" s="14"/>
      <c r="N30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0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0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0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0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0" s="12" t="str">
        <f>IF(tblTasks[[#This Row],[Actual End Date]]="","",100*MAX(0,1-N(tblTasks[[#This Row],[Revision Rounds]])/Settings!$J$9))</f>
        <v/>
      </c>
      <c r="T30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0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1" spans="1:21" x14ac:dyDescent="0.2">
      <c r="A31" s="9" t="str">
        <f>IF(tblTasks[[#This Row],[Task Assigned]]="","","T-"&amp;TEXT(ROW()-ROW(tblTasks[[#Headers],[Task ID]]),"000"))</f>
        <v/>
      </c>
      <c r="B31" s="14"/>
      <c r="C31" s="10"/>
      <c r="D31" s="57" t="str">
        <f>IF(tblTasks[[#This Row],[Project]]="","",IFERROR(INDEX(Settings!$G$5:$G$34,MATCH(tblTasks[[#This Row],[Project]],Settings!$F$5:$F$34,0)),"Not mapped"))</f>
        <v/>
      </c>
      <c r="E31" s="9"/>
      <c r="F31" s="9"/>
      <c r="G31" s="11"/>
      <c r="H31" s="11"/>
      <c r="I31" s="61"/>
      <c r="J31" s="9"/>
      <c r="K31" s="11"/>
      <c r="L31" s="9"/>
      <c r="M31" s="14"/>
      <c r="N31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1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1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1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1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1" s="12" t="str">
        <f>IF(tblTasks[[#This Row],[Actual End Date]]="","",100*MAX(0,1-N(tblTasks[[#This Row],[Revision Rounds]])/Settings!$J$9))</f>
        <v/>
      </c>
      <c r="T31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1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2" spans="1:21" x14ac:dyDescent="0.2">
      <c r="A32" s="9" t="str">
        <f>IF(tblTasks[[#This Row],[Task Assigned]]="","","T-"&amp;TEXT(ROW()-ROW(tblTasks[[#Headers],[Task ID]]),"000"))</f>
        <v/>
      </c>
      <c r="B32" s="14"/>
      <c r="C32" s="10"/>
      <c r="D32" s="57" t="str">
        <f>IF(tblTasks[[#This Row],[Project]]="","",IFERROR(INDEX(Settings!$G$5:$G$34,MATCH(tblTasks[[#This Row],[Project]],Settings!$F$5:$F$34,0)),"Not mapped"))</f>
        <v/>
      </c>
      <c r="E32" s="9"/>
      <c r="F32" s="9"/>
      <c r="G32" s="11"/>
      <c r="H32" s="11"/>
      <c r="I32" s="61"/>
      <c r="J32" s="9"/>
      <c r="K32" s="11"/>
      <c r="L32" s="9"/>
      <c r="M32" s="14"/>
      <c r="N32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2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2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2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2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2" s="12" t="str">
        <f>IF(tblTasks[[#This Row],[Actual End Date]]="","",100*MAX(0,1-N(tblTasks[[#This Row],[Revision Rounds]])/Settings!$J$9))</f>
        <v/>
      </c>
      <c r="T32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2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3" spans="1:21" x14ac:dyDescent="0.2">
      <c r="A33" s="9" t="str">
        <f>IF(tblTasks[[#This Row],[Task Assigned]]="","","T-"&amp;TEXT(ROW()-ROW(tblTasks[[#Headers],[Task ID]]),"000"))</f>
        <v/>
      </c>
      <c r="B33" s="14"/>
      <c r="C33" s="10"/>
      <c r="D33" s="57" t="str">
        <f>IF(tblTasks[[#This Row],[Project]]="","",IFERROR(INDEX(Settings!$G$5:$G$34,MATCH(tblTasks[[#This Row],[Project]],Settings!$F$5:$F$34,0)),"Not mapped"))</f>
        <v/>
      </c>
      <c r="E33" s="9"/>
      <c r="F33" s="9"/>
      <c r="G33" s="11"/>
      <c r="H33" s="11"/>
      <c r="I33" s="61"/>
      <c r="J33" s="9"/>
      <c r="K33" s="11"/>
      <c r="L33" s="9"/>
      <c r="M33" s="14"/>
      <c r="N33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3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3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3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3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3" s="12" t="str">
        <f>IF(tblTasks[[#This Row],[Actual End Date]]="","",100*MAX(0,1-N(tblTasks[[#This Row],[Revision Rounds]])/Settings!$J$9))</f>
        <v/>
      </c>
      <c r="T33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3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4" spans="1:21" x14ac:dyDescent="0.2">
      <c r="A34" s="9" t="str">
        <f>IF(tblTasks[[#This Row],[Task Assigned]]="","","T-"&amp;TEXT(ROW()-ROW(tblTasks[[#Headers],[Task ID]]),"000"))</f>
        <v/>
      </c>
      <c r="B34" s="14"/>
      <c r="C34" s="10"/>
      <c r="D34" s="57" t="str">
        <f>IF(tblTasks[[#This Row],[Project]]="","",IFERROR(INDEX(Settings!$G$5:$G$34,MATCH(tblTasks[[#This Row],[Project]],Settings!$F$5:$F$34,0)),"Not mapped"))</f>
        <v/>
      </c>
      <c r="E34" s="9"/>
      <c r="F34" s="9"/>
      <c r="G34" s="11"/>
      <c r="H34" s="11"/>
      <c r="I34" s="61"/>
      <c r="J34" s="9"/>
      <c r="K34" s="11"/>
      <c r="L34" s="9"/>
      <c r="M34" s="14"/>
      <c r="N34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4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4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4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4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4" s="12" t="str">
        <f>IF(tblTasks[[#This Row],[Actual End Date]]="","",100*MAX(0,1-N(tblTasks[[#This Row],[Revision Rounds]])/Settings!$J$9))</f>
        <v/>
      </c>
      <c r="T34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4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5" spans="1:21" x14ac:dyDescent="0.2">
      <c r="A35" s="9" t="str">
        <f>IF(tblTasks[[#This Row],[Task Assigned]]="","","T-"&amp;TEXT(ROW()-ROW(tblTasks[[#Headers],[Task ID]]),"000"))</f>
        <v/>
      </c>
      <c r="B35" s="14"/>
      <c r="C35" s="10"/>
      <c r="D35" s="57" t="str">
        <f>IF(tblTasks[[#This Row],[Project]]="","",IFERROR(INDEX(Settings!$G$5:$G$34,MATCH(tblTasks[[#This Row],[Project]],Settings!$F$5:$F$34,0)),"Not mapped"))</f>
        <v/>
      </c>
      <c r="E35" s="9"/>
      <c r="F35" s="9"/>
      <c r="G35" s="11"/>
      <c r="H35" s="11"/>
      <c r="I35" s="61"/>
      <c r="J35" s="9"/>
      <c r="K35" s="11"/>
      <c r="L35" s="9"/>
      <c r="M35" s="14"/>
      <c r="N35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5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5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5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5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5" s="12" t="str">
        <f>IF(tblTasks[[#This Row],[Actual End Date]]="","",100*MAX(0,1-N(tblTasks[[#This Row],[Revision Rounds]])/Settings!$J$9))</f>
        <v/>
      </c>
      <c r="T35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5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6" spans="1:21" x14ac:dyDescent="0.2">
      <c r="A36" s="9" t="str">
        <f>IF(tblTasks[[#This Row],[Task Assigned]]="","","T-"&amp;TEXT(ROW()-ROW(tblTasks[[#Headers],[Task ID]]),"000"))</f>
        <v/>
      </c>
      <c r="B36" s="14"/>
      <c r="C36" s="10"/>
      <c r="D36" s="57" t="str">
        <f>IF(tblTasks[[#This Row],[Project]]="","",IFERROR(INDEX(Settings!$G$5:$G$34,MATCH(tblTasks[[#This Row],[Project]],Settings!$F$5:$F$34,0)),"Not mapped"))</f>
        <v/>
      </c>
      <c r="E36" s="9"/>
      <c r="F36" s="9"/>
      <c r="G36" s="11"/>
      <c r="H36" s="11"/>
      <c r="I36" s="61"/>
      <c r="J36" s="9"/>
      <c r="K36" s="11"/>
      <c r="L36" s="9"/>
      <c r="M36" s="14"/>
      <c r="N36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6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6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6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6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6" s="12" t="str">
        <f>IF(tblTasks[[#This Row],[Actual End Date]]="","",100*MAX(0,1-N(tblTasks[[#This Row],[Revision Rounds]])/Settings!$J$9))</f>
        <v/>
      </c>
      <c r="T36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6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7" spans="1:21" x14ac:dyDescent="0.2">
      <c r="A37" s="9" t="str">
        <f>IF(tblTasks[[#This Row],[Task Assigned]]="","","T-"&amp;TEXT(ROW()-ROW(tblTasks[[#Headers],[Task ID]]),"000"))</f>
        <v/>
      </c>
      <c r="B37" s="14"/>
      <c r="C37" s="10"/>
      <c r="D37" s="57" t="str">
        <f>IF(tblTasks[[#This Row],[Project]]="","",IFERROR(INDEX(Settings!$G$5:$G$34,MATCH(tblTasks[[#This Row],[Project]],Settings!$F$5:$F$34,0)),"Not mapped"))</f>
        <v/>
      </c>
      <c r="E37" s="9"/>
      <c r="F37" s="9"/>
      <c r="G37" s="11"/>
      <c r="H37" s="11"/>
      <c r="I37" s="61"/>
      <c r="J37" s="9"/>
      <c r="K37" s="11"/>
      <c r="L37" s="9"/>
      <c r="M37" s="14"/>
      <c r="N37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7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7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7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7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7" s="12" t="str">
        <f>IF(tblTasks[[#This Row],[Actual End Date]]="","",100*MAX(0,1-N(tblTasks[[#This Row],[Revision Rounds]])/Settings!$J$9))</f>
        <v/>
      </c>
      <c r="T37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7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8" spans="1:21" x14ac:dyDescent="0.2">
      <c r="A38" s="9" t="str">
        <f>IF(tblTasks[[#This Row],[Task Assigned]]="","","T-"&amp;TEXT(ROW()-ROW(tblTasks[[#Headers],[Task ID]]),"000"))</f>
        <v/>
      </c>
      <c r="B38" s="14"/>
      <c r="C38" s="10"/>
      <c r="D38" s="57" t="str">
        <f>IF(tblTasks[[#This Row],[Project]]="","",IFERROR(INDEX(Settings!$G$5:$G$34,MATCH(tblTasks[[#This Row],[Project]],Settings!$F$5:$F$34,0)),"Not mapped"))</f>
        <v/>
      </c>
      <c r="E38" s="9"/>
      <c r="F38" s="9"/>
      <c r="G38" s="11"/>
      <c r="H38" s="11"/>
      <c r="I38" s="61"/>
      <c r="J38" s="9"/>
      <c r="K38" s="11"/>
      <c r="L38" s="9"/>
      <c r="M38" s="14"/>
      <c r="N38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8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8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8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8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8" s="12" t="str">
        <f>IF(tblTasks[[#This Row],[Actual End Date]]="","",100*MAX(0,1-N(tblTasks[[#This Row],[Revision Rounds]])/Settings!$J$9))</f>
        <v/>
      </c>
      <c r="T38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8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39" spans="1:21" x14ac:dyDescent="0.2">
      <c r="A39" s="9" t="str">
        <f>IF(tblTasks[[#This Row],[Task Assigned]]="","","T-"&amp;TEXT(ROW()-ROW(tblTasks[[#Headers],[Task ID]]),"000"))</f>
        <v/>
      </c>
      <c r="B39" s="14"/>
      <c r="C39" s="10"/>
      <c r="D39" s="57" t="str">
        <f>IF(tblTasks[[#This Row],[Project]]="","",IFERROR(INDEX(Settings!$G$5:$G$34,MATCH(tblTasks[[#This Row],[Project]],Settings!$F$5:$F$34,0)),"Not mapped"))</f>
        <v/>
      </c>
      <c r="E39" s="9"/>
      <c r="F39" s="9"/>
      <c r="G39" s="11"/>
      <c r="H39" s="11"/>
      <c r="I39" s="61"/>
      <c r="J39" s="9"/>
      <c r="K39" s="11"/>
      <c r="L39" s="9"/>
      <c r="M39" s="14"/>
      <c r="N39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39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39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39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39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39" s="12" t="str">
        <f>IF(tblTasks[[#This Row],[Actual End Date]]="","",100*MAX(0,1-N(tblTasks[[#This Row],[Revision Rounds]])/Settings!$J$9))</f>
        <v/>
      </c>
      <c r="T39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39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0" spans="1:21" x14ac:dyDescent="0.2">
      <c r="A40" s="9" t="str">
        <f>IF(tblTasks[[#This Row],[Task Assigned]]="","","T-"&amp;TEXT(ROW()-ROW(tblTasks[[#Headers],[Task ID]]),"000"))</f>
        <v/>
      </c>
      <c r="B40" s="14"/>
      <c r="C40" s="10"/>
      <c r="D40" s="57" t="str">
        <f>IF(tblTasks[[#This Row],[Project]]="","",IFERROR(INDEX(Settings!$G$5:$G$34,MATCH(tblTasks[[#This Row],[Project]],Settings!$F$5:$F$34,0)),"Not mapped"))</f>
        <v/>
      </c>
      <c r="E40" s="9"/>
      <c r="F40" s="9"/>
      <c r="G40" s="11"/>
      <c r="H40" s="11"/>
      <c r="I40" s="61"/>
      <c r="J40" s="9"/>
      <c r="K40" s="11"/>
      <c r="L40" s="9"/>
      <c r="M40" s="14"/>
      <c r="N40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0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0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0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0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0" s="12" t="str">
        <f>IF(tblTasks[[#This Row],[Actual End Date]]="","",100*MAX(0,1-N(tblTasks[[#This Row],[Revision Rounds]])/Settings!$J$9))</f>
        <v/>
      </c>
      <c r="T40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0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1" spans="1:21" x14ac:dyDescent="0.2">
      <c r="A41" s="9" t="str">
        <f>IF(tblTasks[[#This Row],[Task Assigned]]="","","T-"&amp;TEXT(ROW()-ROW(tblTasks[[#Headers],[Task ID]]),"000"))</f>
        <v/>
      </c>
      <c r="B41" s="14"/>
      <c r="C41" s="10"/>
      <c r="D41" s="57" t="str">
        <f>IF(tblTasks[[#This Row],[Project]]="","",IFERROR(INDEX(Settings!$G$5:$G$34,MATCH(tblTasks[[#This Row],[Project]],Settings!$F$5:$F$34,0)),"Not mapped"))</f>
        <v/>
      </c>
      <c r="E41" s="9"/>
      <c r="F41" s="9"/>
      <c r="G41" s="11"/>
      <c r="H41" s="11"/>
      <c r="I41" s="61"/>
      <c r="J41" s="9"/>
      <c r="K41" s="11"/>
      <c r="L41" s="9"/>
      <c r="M41" s="14"/>
      <c r="N41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1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1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1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1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1" s="12" t="str">
        <f>IF(tblTasks[[#This Row],[Actual End Date]]="","",100*MAX(0,1-N(tblTasks[[#This Row],[Revision Rounds]])/Settings!$J$9))</f>
        <v/>
      </c>
      <c r="T41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1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2" spans="1:21" x14ac:dyDescent="0.2">
      <c r="A42" s="9" t="str">
        <f>IF(tblTasks[[#This Row],[Task Assigned]]="","","T-"&amp;TEXT(ROW()-ROW(tblTasks[[#Headers],[Task ID]]),"000"))</f>
        <v/>
      </c>
      <c r="B42" s="14"/>
      <c r="C42" s="10"/>
      <c r="D42" s="57" t="str">
        <f>IF(tblTasks[[#This Row],[Project]]="","",IFERROR(INDEX(Settings!$G$5:$G$34,MATCH(tblTasks[[#This Row],[Project]],Settings!$F$5:$F$34,0)),"Not mapped"))</f>
        <v/>
      </c>
      <c r="E42" s="9"/>
      <c r="F42" s="9"/>
      <c r="G42" s="11"/>
      <c r="H42" s="11"/>
      <c r="I42" s="61"/>
      <c r="J42" s="9"/>
      <c r="K42" s="11"/>
      <c r="L42" s="9"/>
      <c r="M42" s="14"/>
      <c r="N42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2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2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2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2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2" s="12" t="str">
        <f>IF(tblTasks[[#This Row],[Actual End Date]]="","",100*MAX(0,1-N(tblTasks[[#This Row],[Revision Rounds]])/Settings!$J$9))</f>
        <v/>
      </c>
      <c r="T42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2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3" spans="1:21" x14ac:dyDescent="0.2">
      <c r="A43" s="9" t="str">
        <f>IF(tblTasks[[#This Row],[Task Assigned]]="","","T-"&amp;TEXT(ROW()-ROW(tblTasks[[#Headers],[Task ID]]),"000"))</f>
        <v/>
      </c>
      <c r="B43" s="14"/>
      <c r="C43" s="10"/>
      <c r="D43" s="57" t="str">
        <f>IF(tblTasks[[#This Row],[Project]]="","",IFERROR(INDEX(Settings!$G$5:$G$34,MATCH(tblTasks[[#This Row],[Project]],Settings!$F$5:$F$34,0)),"Not mapped"))</f>
        <v/>
      </c>
      <c r="E43" s="9"/>
      <c r="F43" s="9"/>
      <c r="G43" s="11"/>
      <c r="H43" s="11"/>
      <c r="I43" s="61"/>
      <c r="J43" s="9"/>
      <c r="K43" s="11"/>
      <c r="L43" s="9"/>
      <c r="M43" s="14"/>
      <c r="N43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3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3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3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3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3" s="12" t="str">
        <f>IF(tblTasks[[#This Row],[Actual End Date]]="","",100*MAX(0,1-N(tblTasks[[#This Row],[Revision Rounds]])/Settings!$J$9))</f>
        <v/>
      </c>
      <c r="T43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3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4" spans="1:21" x14ac:dyDescent="0.2">
      <c r="A44" s="9" t="str">
        <f>IF(tblTasks[[#This Row],[Task Assigned]]="","","T-"&amp;TEXT(ROW()-ROW(tblTasks[[#Headers],[Task ID]]),"000"))</f>
        <v/>
      </c>
      <c r="B44" s="14"/>
      <c r="C44" s="10"/>
      <c r="D44" s="57" t="str">
        <f>IF(tblTasks[[#This Row],[Project]]="","",IFERROR(INDEX(Settings!$G$5:$G$34,MATCH(tblTasks[[#This Row],[Project]],Settings!$F$5:$F$34,0)),"Not mapped"))</f>
        <v/>
      </c>
      <c r="E44" s="9"/>
      <c r="F44" s="9"/>
      <c r="G44" s="11"/>
      <c r="H44" s="11"/>
      <c r="I44" s="61"/>
      <c r="J44" s="9"/>
      <c r="K44" s="11"/>
      <c r="L44" s="9"/>
      <c r="M44" s="14"/>
      <c r="N44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4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4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4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4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4" s="12" t="str">
        <f>IF(tblTasks[[#This Row],[Actual End Date]]="","",100*MAX(0,1-N(tblTasks[[#This Row],[Revision Rounds]])/Settings!$J$9))</f>
        <v/>
      </c>
      <c r="T44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4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5" spans="1:21" x14ac:dyDescent="0.2">
      <c r="A45" s="9" t="str">
        <f>IF(tblTasks[[#This Row],[Task Assigned]]="","","T-"&amp;TEXT(ROW()-ROW(tblTasks[[#Headers],[Task ID]]),"000"))</f>
        <v/>
      </c>
      <c r="B45" s="14"/>
      <c r="C45" s="10"/>
      <c r="D45" s="57" t="str">
        <f>IF(tblTasks[[#This Row],[Project]]="","",IFERROR(INDEX(Settings!$G$5:$G$34,MATCH(tblTasks[[#This Row],[Project]],Settings!$F$5:$F$34,0)),"Not mapped"))</f>
        <v/>
      </c>
      <c r="E45" s="9"/>
      <c r="F45" s="9"/>
      <c r="G45" s="11"/>
      <c r="H45" s="11"/>
      <c r="I45" s="61"/>
      <c r="J45" s="9"/>
      <c r="K45" s="11"/>
      <c r="L45" s="9"/>
      <c r="M45" s="14"/>
      <c r="N45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5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5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5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5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5" s="12" t="str">
        <f>IF(tblTasks[[#This Row],[Actual End Date]]="","",100*MAX(0,1-N(tblTasks[[#This Row],[Revision Rounds]])/Settings!$J$9))</f>
        <v/>
      </c>
      <c r="T45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5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6" spans="1:21" x14ac:dyDescent="0.2">
      <c r="A46" s="9" t="str">
        <f>IF(tblTasks[[#This Row],[Task Assigned]]="","","T-"&amp;TEXT(ROW()-ROW(tblTasks[[#Headers],[Task ID]]),"000"))</f>
        <v/>
      </c>
      <c r="B46" s="14"/>
      <c r="C46" s="10"/>
      <c r="D46" s="57" t="str">
        <f>IF(tblTasks[[#This Row],[Project]]="","",IFERROR(INDEX(Settings!$G$5:$G$34,MATCH(tblTasks[[#This Row],[Project]],Settings!$F$5:$F$34,0)),"Not mapped"))</f>
        <v/>
      </c>
      <c r="E46" s="9"/>
      <c r="F46" s="9"/>
      <c r="G46" s="11"/>
      <c r="H46" s="11"/>
      <c r="I46" s="61"/>
      <c r="J46" s="9"/>
      <c r="K46" s="11"/>
      <c r="L46" s="9"/>
      <c r="M46" s="14"/>
      <c r="N46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6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6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6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6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6" s="12" t="str">
        <f>IF(tblTasks[[#This Row],[Actual End Date]]="","",100*MAX(0,1-N(tblTasks[[#This Row],[Revision Rounds]])/Settings!$J$9))</f>
        <v/>
      </c>
      <c r="T46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6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7" spans="1:21" x14ac:dyDescent="0.2">
      <c r="A47" s="9" t="str">
        <f>IF(tblTasks[[#This Row],[Task Assigned]]="","","T-"&amp;TEXT(ROW()-ROW(tblTasks[[#Headers],[Task ID]]),"000"))</f>
        <v/>
      </c>
      <c r="B47" s="14"/>
      <c r="C47" s="10"/>
      <c r="D47" s="57" t="str">
        <f>IF(tblTasks[[#This Row],[Project]]="","",IFERROR(INDEX(Settings!$G$5:$G$34,MATCH(tblTasks[[#This Row],[Project]],Settings!$F$5:$F$34,0)),"Not mapped"))</f>
        <v/>
      </c>
      <c r="E47" s="9"/>
      <c r="F47" s="9"/>
      <c r="G47" s="11"/>
      <c r="H47" s="11"/>
      <c r="I47" s="61"/>
      <c r="J47" s="9"/>
      <c r="K47" s="11"/>
      <c r="L47" s="9"/>
      <c r="M47" s="14"/>
      <c r="N47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7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7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7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7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7" s="12" t="str">
        <f>IF(tblTasks[[#This Row],[Actual End Date]]="","",100*MAX(0,1-N(tblTasks[[#This Row],[Revision Rounds]])/Settings!$J$9))</f>
        <v/>
      </c>
      <c r="T47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7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8" spans="1:21" x14ac:dyDescent="0.2">
      <c r="A48" s="9" t="str">
        <f>IF(tblTasks[[#This Row],[Task Assigned]]="","","T-"&amp;TEXT(ROW()-ROW(tblTasks[[#Headers],[Task ID]]),"000"))</f>
        <v/>
      </c>
      <c r="B48" s="14"/>
      <c r="C48" s="10"/>
      <c r="D48" s="57" t="str">
        <f>IF(tblTasks[[#This Row],[Project]]="","",IFERROR(INDEX(Settings!$G$5:$G$34,MATCH(tblTasks[[#This Row],[Project]],Settings!$F$5:$F$34,0)),"Not mapped"))</f>
        <v/>
      </c>
      <c r="E48" s="9"/>
      <c r="F48" s="9"/>
      <c r="G48" s="11"/>
      <c r="H48" s="11"/>
      <c r="I48" s="61"/>
      <c r="J48" s="9"/>
      <c r="K48" s="11"/>
      <c r="L48" s="9"/>
      <c r="M48" s="14"/>
      <c r="N48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8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8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8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8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8" s="12" t="str">
        <f>IF(tblTasks[[#This Row],[Actual End Date]]="","",100*MAX(0,1-N(tblTasks[[#This Row],[Revision Rounds]])/Settings!$J$9))</f>
        <v/>
      </c>
      <c r="T48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8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49" spans="1:21" x14ac:dyDescent="0.2">
      <c r="A49" s="9" t="str">
        <f>IF(tblTasks[[#This Row],[Task Assigned]]="","","T-"&amp;TEXT(ROW()-ROW(tblTasks[[#Headers],[Task ID]]),"000"))</f>
        <v/>
      </c>
      <c r="B49" s="14"/>
      <c r="C49" s="10"/>
      <c r="D49" s="57" t="str">
        <f>IF(tblTasks[[#This Row],[Project]]="","",IFERROR(INDEX(Settings!$G$5:$G$34,MATCH(tblTasks[[#This Row],[Project]],Settings!$F$5:$F$34,0)),"Not mapped"))</f>
        <v/>
      </c>
      <c r="E49" s="9"/>
      <c r="F49" s="9"/>
      <c r="G49" s="11"/>
      <c r="H49" s="11"/>
      <c r="I49" s="61"/>
      <c r="J49" s="9"/>
      <c r="K49" s="11"/>
      <c r="L49" s="9"/>
      <c r="M49" s="14"/>
      <c r="N49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49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49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49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49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49" s="12" t="str">
        <f>IF(tblTasks[[#This Row],[Actual End Date]]="","",100*MAX(0,1-N(tblTasks[[#This Row],[Revision Rounds]])/Settings!$J$9))</f>
        <v/>
      </c>
      <c r="T49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49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50" spans="1:21" x14ac:dyDescent="0.2">
      <c r="A50" s="9" t="str">
        <f>IF(tblTasks[[#This Row],[Task Assigned]]="","","T-"&amp;TEXT(ROW()-ROW(tblTasks[[#Headers],[Task ID]]),"000"))</f>
        <v/>
      </c>
      <c r="B50" s="14"/>
      <c r="C50" s="10"/>
      <c r="D50" s="57" t="str">
        <f>IF(tblTasks[[#This Row],[Project]]="","",IFERROR(INDEX(Settings!$G$5:$G$34,MATCH(tblTasks[[#This Row],[Project]],Settings!$F$5:$F$34,0)),"Not mapped"))</f>
        <v/>
      </c>
      <c r="E50" s="9"/>
      <c r="F50" s="9"/>
      <c r="G50" s="11"/>
      <c r="H50" s="11"/>
      <c r="I50" s="61"/>
      <c r="J50" s="9"/>
      <c r="K50" s="11"/>
      <c r="L50" s="9"/>
      <c r="M50" s="14"/>
      <c r="N50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50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50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50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50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50" s="12" t="str">
        <f>IF(tblTasks[[#This Row],[Actual End Date]]="","",100*MAX(0,1-N(tblTasks[[#This Row],[Revision Rounds]])/Settings!$J$9))</f>
        <v/>
      </c>
      <c r="T50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50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51" spans="1:21" x14ac:dyDescent="0.2">
      <c r="A51" s="9" t="str">
        <f>IF(tblTasks[[#This Row],[Task Assigned]]="","","T-"&amp;TEXT(ROW()-ROW(tblTasks[[#Headers],[Task ID]]),"000"))</f>
        <v/>
      </c>
      <c r="B51" s="14"/>
      <c r="C51" s="10"/>
      <c r="D51" s="57" t="str">
        <f>IF(tblTasks[[#This Row],[Project]]="","",IFERROR(INDEX(Settings!$G$5:$G$34,MATCH(tblTasks[[#This Row],[Project]],Settings!$F$5:$F$34,0)),"Not mapped"))</f>
        <v/>
      </c>
      <c r="E51" s="9"/>
      <c r="F51" s="9"/>
      <c r="G51" s="11"/>
      <c r="H51" s="11"/>
      <c r="I51" s="61"/>
      <c r="J51" s="9"/>
      <c r="K51" s="11"/>
      <c r="L51" s="9"/>
      <c r="M51" s="14"/>
      <c r="N51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51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51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51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51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51" s="12" t="str">
        <f>IF(tblTasks[[#This Row],[Actual End Date]]="","",100*MAX(0,1-N(tblTasks[[#This Row],[Revision Rounds]])/Settings!$J$9))</f>
        <v/>
      </c>
      <c r="T51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51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52" spans="1:21" x14ac:dyDescent="0.2">
      <c r="A52" s="9" t="str">
        <f>IF(tblTasks[[#This Row],[Task Assigned]]="","","T-"&amp;TEXT(ROW()-ROW(tblTasks[[#Headers],[Task ID]]),"000"))</f>
        <v/>
      </c>
      <c r="B52" s="14"/>
      <c r="C52" s="10"/>
      <c r="D52" s="57" t="str">
        <f>IF(tblTasks[[#This Row],[Project]]="","",IFERROR(INDEX(Settings!$G$5:$G$34,MATCH(tblTasks[[#This Row],[Project]],Settings!$F$5:$F$34,0)),"Not mapped"))</f>
        <v/>
      </c>
      <c r="E52" s="9"/>
      <c r="F52" s="9"/>
      <c r="G52" s="11"/>
      <c r="H52" s="11"/>
      <c r="I52" s="61"/>
      <c r="J52" s="9"/>
      <c r="K52" s="11"/>
      <c r="L52" s="9"/>
      <c r="M52" s="14"/>
      <c r="N52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52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52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52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52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52" s="12" t="str">
        <f>IF(tblTasks[[#This Row],[Actual End Date]]="","",100*MAX(0,1-N(tblTasks[[#This Row],[Revision Rounds]])/Settings!$J$9))</f>
        <v/>
      </c>
      <c r="T52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52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53" spans="1:21" x14ac:dyDescent="0.2">
      <c r="A53" s="9" t="str">
        <f>IF(tblTasks[[#This Row],[Task Assigned]]="","","T-"&amp;TEXT(ROW()-ROW(tblTasks[[#Headers],[Task ID]]),"000"))</f>
        <v/>
      </c>
      <c r="B53" s="14"/>
      <c r="C53" s="10"/>
      <c r="D53" s="57" t="str">
        <f>IF(tblTasks[[#This Row],[Project]]="","",IFERROR(INDEX(Settings!$G$5:$G$34,MATCH(tblTasks[[#This Row],[Project]],Settings!$F$5:$F$34,0)),"Not mapped"))</f>
        <v/>
      </c>
      <c r="E53" s="9"/>
      <c r="F53" s="9"/>
      <c r="G53" s="11"/>
      <c r="H53" s="11"/>
      <c r="I53" s="61"/>
      <c r="J53" s="9"/>
      <c r="K53" s="11"/>
      <c r="L53" s="9"/>
      <c r="M53" s="14"/>
      <c r="N53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53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53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53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53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53" s="12" t="str">
        <f>IF(tblTasks[[#This Row],[Actual End Date]]="","",100*MAX(0,1-N(tblTasks[[#This Row],[Revision Rounds]])/Settings!$J$9))</f>
        <v/>
      </c>
      <c r="T53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53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54" spans="1:21" x14ac:dyDescent="0.2">
      <c r="A54" s="9" t="str">
        <f>IF(tblTasks[[#This Row],[Task Assigned]]="","","T-"&amp;TEXT(ROW()-ROW(tblTasks[[#Headers],[Task ID]]),"000"))</f>
        <v/>
      </c>
      <c r="B54" s="14"/>
      <c r="C54" s="10"/>
      <c r="D54" s="57" t="str">
        <f>IF(tblTasks[[#This Row],[Project]]="","",IFERROR(INDEX(Settings!$G$5:$G$34,MATCH(tblTasks[[#This Row],[Project]],Settings!$F$5:$F$34,0)),"Not mapped"))</f>
        <v/>
      </c>
      <c r="E54" s="9"/>
      <c r="F54" s="9"/>
      <c r="G54" s="11"/>
      <c r="H54" s="11"/>
      <c r="I54" s="61"/>
      <c r="J54" s="9"/>
      <c r="K54" s="11"/>
      <c r="L54" s="9"/>
      <c r="M54" s="14"/>
      <c r="N54" s="12" t="str">
        <f ca="1">IF(OR(tblTasks[[#This Row],[Task Assigned]]="",tblTasks[[#This Row],[Start Date]]="",AND(tblTasks[[#This Row],[Actual End Date]]="",tblTasks[[#This Row],[Start Date]]&gt;TODAY())),"",NETWORKDAYS.INTL(tblTasks[[#This Row],[Start Date]],IF(tblTasks[[#This Row],[Actual End Date]]="",TODAY(),tblTasks[[#This Row],[Actual End Date]]),Settings!$J$19,tblHolidays[Holiday Date]))</f>
        <v/>
      </c>
      <c r="O54" s="12" t="str">
        <f>IF(OR(tblTasks[[#This Row],[Task Assigned]]="",tblTasks[[#This Row],[Start Date]]="",tblTasks[[#This Row],[Target End Date]]="",tblTasks[[#This Row],[Target End Date]]&lt;tblTasks[[#This Row],[Start Date]]),"",NETWORKDAYS.INTL(tblTasks[[#This Row],[Start Date]],tblTasks[[#This Row],[Target End Date]],Settings!$J$19,tblHolidays[Holiday Date]))</f>
        <v/>
      </c>
      <c r="P54" s="13" t="str">
        <f ca="1">IF(OR(tblTasks[[#This Row],[Actual End Date]]="",tblTasks[[#This Row],[TAT (Working Days)]]="",tblTasks[[#This Row],[Planned (Working Days)]]=""),"",tblTasks[[#This Row],[TAT (Working Days)]]-tblTasks[[#This Row],[Planned (Working Days)]])</f>
        <v/>
      </c>
      <c r="Q54" s="9" t="str">
        <f ca="1">IF(tblTasks[[#This Row],[Task Assigned]]="","",IF(tblTasks[[#This Row],[Start Date]]="","Not Scheduled",IF(tblTasks[[#This Row],[Actual End Date]]&lt;&gt;"",IF(OR(tblTasks[[#This Row],[Target End Date]]="",tblTasks[[#This Row],[Actual End Date]]&lt;=tblTasks[[#This Row],[Target End Date]]),"Done On Time","Done Late"),IF(tblTasks[[#This Row],[Status]]="Blocked","Blocked",IF(AND(tblTasks[[#This Row],[Target End Date]]&lt;&gt;"",TODAY()&gt;tblTasks[[#This Row],[Target End Date]]),"Overdue",IF(tblTasks[[#This Row],[Start Date]]&gt;TODAY(),"Scheduled","On Track"))))))</f>
        <v/>
      </c>
      <c r="R54" s="12" t="str">
        <f ca="1">IF(OR(tblTasks[[#This Row],[Actual End Date]]="",tblTasks[[#This Row],[TAT (Working Days)]]="",tblTasks[[#This Row],[Planned (Working Days)]]=""),"",100*MIN(1,tblTasks[[#This Row],[Planned (Working Days)]]/MAX(tblTasks[[#This Row],[TAT (Working Days)]],1)))</f>
        <v/>
      </c>
      <c r="S54" s="12" t="str">
        <f>IF(tblTasks[[#This Row],[Actual End Date]]="","",100*MAX(0,1-N(tblTasks[[#This Row],[Revision Rounds]])/Settings!$J$9))</f>
        <v/>
      </c>
      <c r="T54" s="12" t="str">
        <f ca="1">IF(OR(tblTasks[[#This Row],[Speed Score]]="",tblTasks[[#This Row],[Quality Score]]=""),"",(Settings!$J$5*tblTasks[[#This Row],[Speed Score]]+Settings!$J$6*tblTasks[[#This Row],[Quality Score]])/(Settings!$J$5+Settings!$J$6))</f>
        <v/>
      </c>
      <c r="U54" s="60" t="str">
        <f>IF(OR(tblTasks[[#This Row],[Estimated Effort (Hrs)]]="",tblTasks[[#This Row],[Planned (Working Days)]]=""),"",IF(tblTasks[[#This Row],[Planned (Working Days)]]=0,"",tblTasks[[#This Row],[Estimated Effort (Hrs)]]/tblTasks[[#This Row],[Planned (Working Days)]]))</f>
        <v/>
      </c>
    </row>
    <row r="55" spans="1:21" x14ac:dyDescent="0.2">
      <c r="A55" s="9"/>
      <c r="B55" s="14"/>
      <c r="C55" s="10"/>
      <c r="D55" s="9"/>
      <c r="E55" s="9"/>
      <c r="F55" s="9"/>
      <c r="G55" s="11"/>
      <c r="H55" s="11"/>
      <c r="I55" s="61"/>
      <c r="J55" s="9"/>
      <c r="K55" s="11"/>
      <c r="L55" s="9"/>
      <c r="M55" s="14"/>
      <c r="N55" s="12"/>
      <c r="O55" s="12"/>
      <c r="P55" s="13"/>
      <c r="Q55" s="9"/>
      <c r="R55" s="12"/>
      <c r="S55" s="12"/>
      <c r="T55" s="12"/>
      <c r="U55" s="17"/>
    </row>
    <row r="56" spans="1:21" x14ac:dyDescent="0.2">
      <c r="A56" s="9"/>
      <c r="B56" s="14"/>
      <c r="C56" s="10"/>
      <c r="D56" s="9"/>
      <c r="E56" s="9"/>
      <c r="F56" s="9"/>
      <c r="G56" s="11"/>
      <c r="H56" s="11"/>
      <c r="I56" s="61"/>
      <c r="J56" s="9"/>
      <c r="K56" s="11"/>
      <c r="L56" s="9"/>
      <c r="M56" s="14"/>
      <c r="N56" s="12"/>
      <c r="O56" s="12"/>
      <c r="P56" s="13"/>
      <c r="Q56" s="9"/>
      <c r="R56" s="12"/>
      <c r="S56" s="12"/>
      <c r="T56" s="12"/>
      <c r="U56" s="17"/>
    </row>
    <row r="57" spans="1:21" x14ac:dyDescent="0.2">
      <c r="A57" s="9"/>
      <c r="B57" s="14"/>
      <c r="C57" s="10"/>
      <c r="D57" s="9"/>
      <c r="E57" s="9"/>
      <c r="F57" s="9"/>
      <c r="G57" s="11"/>
      <c r="H57" s="11"/>
      <c r="I57" s="61"/>
      <c r="J57" s="9"/>
      <c r="K57" s="11"/>
      <c r="L57" s="9"/>
      <c r="M57" s="14"/>
      <c r="N57" s="12"/>
      <c r="O57" s="12"/>
      <c r="P57" s="13"/>
      <c r="Q57" s="9"/>
      <c r="R57" s="12"/>
      <c r="S57" s="12"/>
      <c r="T57" s="12"/>
      <c r="U57" s="17"/>
    </row>
    <row r="58" spans="1:21" x14ac:dyDescent="0.2">
      <c r="A58" s="9"/>
      <c r="B58" s="14"/>
      <c r="C58" s="10"/>
      <c r="D58" s="9"/>
      <c r="E58" s="9"/>
      <c r="F58" s="9"/>
      <c r="G58" s="11"/>
      <c r="H58" s="11"/>
      <c r="I58" s="61"/>
      <c r="J58" s="9"/>
      <c r="K58" s="11"/>
      <c r="L58" s="9"/>
      <c r="M58" s="14"/>
      <c r="N58" s="12"/>
      <c r="O58" s="12"/>
      <c r="P58" s="13"/>
      <c r="Q58" s="9"/>
      <c r="R58" s="12"/>
      <c r="S58" s="12"/>
      <c r="T58" s="12"/>
      <c r="U58" s="17"/>
    </row>
    <row r="59" spans="1:21" x14ac:dyDescent="0.2">
      <c r="A59" s="9"/>
      <c r="B59" s="14"/>
      <c r="C59" s="10"/>
      <c r="D59" s="9"/>
      <c r="E59" s="9"/>
      <c r="F59" s="9"/>
      <c r="G59" s="11"/>
      <c r="H59" s="11"/>
      <c r="I59" s="61"/>
      <c r="J59" s="9"/>
      <c r="K59" s="11"/>
      <c r="L59" s="9"/>
      <c r="M59" s="14"/>
      <c r="N59" s="12"/>
      <c r="O59" s="12"/>
      <c r="P59" s="13"/>
      <c r="Q59" s="9"/>
      <c r="R59" s="12"/>
      <c r="S59" s="12"/>
      <c r="T59" s="12"/>
      <c r="U59" s="17"/>
    </row>
    <row r="60" spans="1:21" x14ac:dyDescent="0.2">
      <c r="A60" s="9"/>
      <c r="B60" s="14"/>
      <c r="C60" s="10"/>
      <c r="D60" s="9"/>
      <c r="E60" s="9"/>
      <c r="F60" s="9"/>
      <c r="G60" s="11"/>
      <c r="H60" s="11"/>
      <c r="I60" s="61"/>
      <c r="J60" s="9"/>
      <c r="K60" s="11"/>
      <c r="L60" s="9"/>
      <c r="M60" s="14"/>
      <c r="N60" s="12"/>
      <c r="O60" s="12"/>
      <c r="P60" s="13"/>
      <c r="Q60" s="9"/>
      <c r="R60" s="12"/>
      <c r="S60" s="12"/>
      <c r="T60" s="12"/>
      <c r="U60" s="17"/>
    </row>
    <row r="61" spans="1:21" x14ac:dyDescent="0.2">
      <c r="A61" s="9"/>
      <c r="B61" s="14"/>
      <c r="C61" s="10"/>
      <c r="D61" s="9"/>
      <c r="E61" s="9"/>
      <c r="F61" s="9"/>
      <c r="G61" s="11"/>
      <c r="H61" s="11"/>
      <c r="I61" s="61"/>
      <c r="J61" s="9"/>
      <c r="K61" s="11"/>
      <c r="L61" s="9"/>
      <c r="M61" s="14"/>
      <c r="N61" s="12"/>
      <c r="O61" s="12"/>
      <c r="P61" s="13"/>
      <c r="Q61" s="9"/>
      <c r="R61" s="12"/>
      <c r="S61" s="12"/>
      <c r="T61" s="12"/>
      <c r="U61" s="17"/>
    </row>
    <row r="62" spans="1:21" x14ac:dyDescent="0.2">
      <c r="A62" s="9"/>
      <c r="B62" s="14"/>
      <c r="C62" s="10"/>
      <c r="D62" s="9"/>
      <c r="E62" s="9"/>
      <c r="F62" s="9"/>
      <c r="G62" s="11"/>
      <c r="H62" s="11"/>
      <c r="I62" s="61"/>
      <c r="J62" s="9"/>
      <c r="K62" s="11"/>
      <c r="L62" s="9"/>
      <c r="M62" s="14"/>
      <c r="N62" s="12"/>
      <c r="O62" s="12"/>
      <c r="P62" s="13"/>
      <c r="Q62" s="9"/>
      <c r="R62" s="12"/>
      <c r="S62" s="12"/>
      <c r="T62" s="12"/>
      <c r="U62" s="17"/>
    </row>
    <row r="63" spans="1:21" x14ac:dyDescent="0.2">
      <c r="A63" s="9"/>
      <c r="B63" s="14"/>
      <c r="C63" s="10"/>
      <c r="D63" s="9"/>
      <c r="E63" s="9"/>
      <c r="F63" s="9"/>
      <c r="G63" s="11"/>
      <c r="H63" s="11"/>
      <c r="I63" s="61"/>
      <c r="J63" s="9"/>
      <c r="K63" s="11"/>
      <c r="L63" s="9"/>
      <c r="M63" s="14"/>
      <c r="N63" s="12"/>
      <c r="O63" s="12"/>
      <c r="P63" s="13"/>
      <c r="Q63" s="9"/>
      <c r="R63" s="12"/>
      <c r="S63" s="12"/>
      <c r="T63" s="12"/>
      <c r="U63" s="17"/>
    </row>
    <row r="64" spans="1:21" x14ac:dyDescent="0.2">
      <c r="A64" s="9"/>
      <c r="B64" s="14"/>
      <c r="C64" s="10"/>
      <c r="D64" s="9"/>
      <c r="E64" s="9"/>
      <c r="F64" s="9"/>
      <c r="G64" s="11"/>
      <c r="H64" s="11"/>
      <c r="I64" s="61"/>
      <c r="J64" s="9"/>
      <c r="K64" s="11"/>
      <c r="L64" s="9"/>
      <c r="M64" s="14"/>
      <c r="N64" s="12"/>
      <c r="O64" s="12"/>
      <c r="P64" s="13"/>
      <c r="Q64" s="9"/>
      <c r="R64" s="12"/>
      <c r="S64" s="12"/>
      <c r="T64" s="12"/>
      <c r="U64" s="17"/>
    </row>
    <row r="65" spans="1:21" x14ac:dyDescent="0.2">
      <c r="A65" s="9"/>
      <c r="B65" s="14"/>
      <c r="C65" s="10"/>
      <c r="D65" s="9"/>
      <c r="E65" s="9"/>
      <c r="F65" s="9"/>
      <c r="G65" s="11"/>
      <c r="H65" s="11"/>
      <c r="I65" s="61"/>
      <c r="J65" s="9"/>
      <c r="K65" s="11"/>
      <c r="L65" s="9"/>
      <c r="M65" s="14"/>
      <c r="N65" s="12"/>
      <c r="O65" s="12"/>
      <c r="P65" s="13"/>
      <c r="Q65" s="9"/>
      <c r="R65" s="12"/>
      <c r="S65" s="12"/>
      <c r="T65" s="12"/>
      <c r="U65" s="17"/>
    </row>
    <row r="66" spans="1:21" x14ac:dyDescent="0.2">
      <c r="A66" s="9"/>
      <c r="B66" s="14"/>
      <c r="C66" s="10"/>
      <c r="D66" s="9"/>
      <c r="E66" s="9"/>
      <c r="F66" s="9"/>
      <c r="G66" s="11"/>
      <c r="H66" s="11"/>
      <c r="I66" s="61"/>
      <c r="J66" s="9"/>
      <c r="K66" s="11"/>
      <c r="L66" s="9"/>
      <c r="M66" s="14"/>
      <c r="N66" s="12"/>
      <c r="O66" s="12"/>
      <c r="P66" s="13"/>
      <c r="Q66" s="9"/>
      <c r="R66" s="12"/>
      <c r="S66" s="12"/>
      <c r="T66" s="12"/>
      <c r="U66" s="17"/>
    </row>
    <row r="67" spans="1:21" x14ac:dyDescent="0.2">
      <c r="A67" s="9"/>
      <c r="B67" s="14"/>
      <c r="C67" s="10"/>
      <c r="D67" s="9"/>
      <c r="E67" s="9"/>
      <c r="F67" s="9"/>
      <c r="G67" s="11"/>
      <c r="H67" s="11"/>
      <c r="I67" s="61"/>
      <c r="J67" s="9"/>
      <c r="K67" s="11"/>
      <c r="L67" s="9"/>
      <c r="M67" s="14"/>
      <c r="N67" s="12"/>
      <c r="O67" s="12"/>
      <c r="P67" s="13"/>
      <c r="Q67" s="9"/>
      <c r="R67" s="12"/>
      <c r="S67" s="12"/>
      <c r="T67" s="12"/>
      <c r="U67" s="17"/>
    </row>
    <row r="68" spans="1:21" x14ac:dyDescent="0.2">
      <c r="A68" s="9"/>
      <c r="B68" s="14"/>
      <c r="C68" s="10"/>
      <c r="D68" s="9"/>
      <c r="E68" s="9"/>
      <c r="F68" s="9"/>
      <c r="G68" s="11"/>
      <c r="H68" s="11"/>
      <c r="I68" s="61"/>
      <c r="J68" s="9"/>
      <c r="K68" s="11"/>
      <c r="L68" s="9"/>
      <c r="M68" s="14"/>
      <c r="N68" s="12"/>
      <c r="O68" s="12"/>
      <c r="P68" s="13"/>
      <c r="Q68" s="9"/>
      <c r="R68" s="12"/>
      <c r="S68" s="12"/>
      <c r="T68" s="12"/>
      <c r="U68" s="17"/>
    </row>
    <row r="69" spans="1:21" x14ac:dyDescent="0.2">
      <c r="A69" s="9"/>
      <c r="B69" s="14"/>
      <c r="C69" s="10"/>
      <c r="D69" s="9"/>
      <c r="E69" s="9"/>
      <c r="F69" s="9"/>
      <c r="G69" s="11"/>
      <c r="H69" s="11"/>
      <c r="I69" s="61"/>
      <c r="J69" s="9"/>
      <c r="K69" s="11"/>
      <c r="L69" s="9"/>
      <c r="M69" s="14"/>
      <c r="N69" s="12"/>
      <c r="O69" s="12"/>
      <c r="P69" s="13"/>
      <c r="Q69" s="9"/>
      <c r="R69" s="12"/>
      <c r="S69" s="12"/>
      <c r="T69" s="12"/>
      <c r="U69" s="17"/>
    </row>
    <row r="70" spans="1:21" x14ac:dyDescent="0.2">
      <c r="A70" s="9"/>
      <c r="B70" s="14"/>
      <c r="C70" s="10"/>
      <c r="D70" s="9"/>
      <c r="E70" s="9"/>
      <c r="F70" s="9"/>
      <c r="G70" s="11"/>
      <c r="H70" s="11"/>
      <c r="I70" s="61"/>
      <c r="J70" s="9"/>
      <c r="K70" s="11"/>
      <c r="L70" s="9"/>
      <c r="M70" s="14"/>
      <c r="N70" s="12"/>
      <c r="O70" s="12"/>
      <c r="P70" s="13"/>
      <c r="Q70" s="9"/>
      <c r="R70" s="12"/>
      <c r="S70" s="12"/>
      <c r="T70" s="12"/>
      <c r="U70" s="17"/>
    </row>
    <row r="71" spans="1:21" x14ac:dyDescent="0.2">
      <c r="A71" s="9"/>
      <c r="B71" s="14"/>
      <c r="C71" s="10"/>
      <c r="D71" s="9"/>
      <c r="E71" s="9"/>
      <c r="F71" s="9"/>
      <c r="G71" s="11"/>
      <c r="H71" s="11"/>
      <c r="I71" s="61"/>
      <c r="J71" s="9"/>
      <c r="K71" s="11"/>
      <c r="L71" s="9"/>
      <c r="M71" s="14"/>
      <c r="N71" s="12"/>
      <c r="O71" s="12"/>
      <c r="P71" s="13"/>
      <c r="Q71" s="9"/>
      <c r="R71" s="12"/>
      <c r="S71" s="12"/>
      <c r="T71" s="12"/>
      <c r="U71" s="17"/>
    </row>
    <row r="72" spans="1:21" x14ac:dyDescent="0.2">
      <c r="A72" s="9"/>
      <c r="B72" s="14"/>
      <c r="C72" s="10"/>
      <c r="D72" s="9"/>
      <c r="E72" s="9"/>
      <c r="F72" s="9"/>
      <c r="G72" s="11"/>
      <c r="H72" s="11"/>
      <c r="I72" s="61"/>
      <c r="J72" s="9"/>
      <c r="K72" s="11"/>
      <c r="L72" s="9"/>
      <c r="M72" s="14"/>
      <c r="N72" s="12"/>
      <c r="O72" s="12"/>
      <c r="P72" s="13"/>
      <c r="Q72" s="9"/>
      <c r="R72" s="12"/>
      <c r="S72" s="12"/>
      <c r="T72" s="12"/>
      <c r="U72" s="17"/>
    </row>
    <row r="73" spans="1:21" x14ac:dyDescent="0.2">
      <c r="A73" s="9"/>
      <c r="B73" s="14"/>
      <c r="C73" s="10"/>
      <c r="D73" s="9"/>
      <c r="E73" s="9"/>
      <c r="F73" s="9"/>
      <c r="G73" s="11"/>
      <c r="H73" s="11"/>
      <c r="I73" s="61"/>
      <c r="J73" s="9"/>
      <c r="K73" s="11"/>
      <c r="L73" s="9"/>
      <c r="M73" s="14"/>
      <c r="N73" s="12"/>
      <c r="O73" s="12"/>
      <c r="P73" s="13"/>
      <c r="Q73" s="9"/>
      <c r="R73" s="12"/>
      <c r="S73" s="12"/>
      <c r="T73" s="12"/>
      <c r="U73" s="17"/>
    </row>
    <row r="74" spans="1:21" x14ac:dyDescent="0.2">
      <c r="A74" s="9"/>
      <c r="B74" s="14"/>
      <c r="C74" s="10"/>
      <c r="D74" s="9"/>
      <c r="E74" s="9"/>
      <c r="F74" s="9"/>
      <c r="G74" s="11"/>
      <c r="H74" s="11"/>
      <c r="I74" s="61"/>
      <c r="J74" s="9"/>
      <c r="K74" s="11"/>
      <c r="L74" s="9"/>
      <c r="M74" s="14"/>
      <c r="N74" s="12"/>
      <c r="O74" s="12"/>
      <c r="P74" s="13"/>
      <c r="Q74" s="9"/>
      <c r="R74" s="12"/>
      <c r="S74" s="12"/>
      <c r="T74" s="12"/>
      <c r="U74" s="17"/>
    </row>
    <row r="75" spans="1:21" x14ac:dyDescent="0.2">
      <c r="A75" s="9"/>
      <c r="B75" s="14"/>
      <c r="C75" s="10"/>
      <c r="D75" s="9"/>
      <c r="E75" s="9"/>
      <c r="F75" s="9"/>
      <c r="G75" s="11"/>
      <c r="H75" s="11"/>
      <c r="I75" s="61"/>
      <c r="J75" s="9"/>
      <c r="K75" s="11"/>
      <c r="L75" s="9"/>
      <c r="M75" s="14"/>
      <c r="N75" s="12"/>
      <c r="O75" s="12"/>
      <c r="P75" s="13"/>
      <c r="Q75" s="9"/>
      <c r="R75" s="12"/>
      <c r="S75" s="12"/>
      <c r="T75" s="12"/>
      <c r="U75" s="17"/>
    </row>
    <row r="76" spans="1:21" x14ac:dyDescent="0.2">
      <c r="A76" s="9"/>
      <c r="B76" s="14"/>
      <c r="C76" s="10"/>
      <c r="D76" s="9"/>
      <c r="E76" s="9"/>
      <c r="F76" s="9"/>
      <c r="G76" s="11"/>
      <c r="H76" s="11"/>
      <c r="I76" s="61"/>
      <c r="J76" s="9"/>
      <c r="K76" s="11"/>
      <c r="L76" s="9"/>
      <c r="M76" s="14"/>
      <c r="N76" s="12"/>
      <c r="O76" s="12"/>
      <c r="P76" s="13"/>
      <c r="Q76" s="9"/>
      <c r="R76" s="12"/>
      <c r="S76" s="12"/>
      <c r="T76" s="12"/>
      <c r="U76" s="17"/>
    </row>
    <row r="77" spans="1:21" x14ac:dyDescent="0.2">
      <c r="A77" s="9"/>
      <c r="B77" s="14"/>
      <c r="C77" s="10"/>
      <c r="D77" s="9"/>
      <c r="E77" s="9"/>
      <c r="F77" s="9"/>
      <c r="G77" s="11"/>
      <c r="H77" s="11"/>
      <c r="I77" s="61"/>
      <c r="J77" s="9"/>
      <c r="K77" s="11"/>
      <c r="L77" s="9"/>
      <c r="M77" s="14"/>
      <c r="N77" s="12"/>
      <c r="O77" s="12"/>
      <c r="P77" s="13"/>
      <c r="Q77" s="9"/>
      <c r="R77" s="12"/>
      <c r="S77" s="12"/>
      <c r="T77" s="12"/>
      <c r="U77" s="17"/>
    </row>
    <row r="78" spans="1:21" x14ac:dyDescent="0.2">
      <c r="A78" s="9"/>
      <c r="B78" s="14"/>
      <c r="C78" s="10"/>
      <c r="D78" s="9"/>
      <c r="E78" s="9"/>
      <c r="F78" s="9"/>
      <c r="G78" s="11"/>
      <c r="H78" s="11"/>
      <c r="I78" s="61"/>
      <c r="J78" s="9"/>
      <c r="K78" s="11"/>
      <c r="L78" s="9"/>
      <c r="M78" s="14"/>
      <c r="N78" s="12"/>
      <c r="O78" s="12"/>
      <c r="P78" s="13"/>
      <c r="Q78" s="9"/>
      <c r="R78" s="12"/>
      <c r="S78" s="12"/>
      <c r="T78" s="12"/>
      <c r="U78" s="17"/>
    </row>
    <row r="79" spans="1:21" x14ac:dyDescent="0.2">
      <c r="A79" s="9"/>
      <c r="B79" s="14"/>
      <c r="C79" s="10"/>
      <c r="D79" s="9"/>
      <c r="E79" s="9"/>
      <c r="F79" s="9"/>
      <c r="G79" s="11"/>
      <c r="H79" s="11"/>
      <c r="I79" s="61"/>
      <c r="J79" s="9"/>
      <c r="K79" s="11"/>
      <c r="L79" s="9"/>
      <c r="M79" s="14"/>
      <c r="N79" s="12"/>
      <c r="O79" s="12"/>
      <c r="P79" s="13"/>
      <c r="Q79" s="9"/>
      <c r="R79" s="12"/>
      <c r="S79" s="12"/>
      <c r="T79" s="12"/>
      <c r="U79" s="17"/>
    </row>
    <row r="80" spans="1:21" x14ac:dyDescent="0.2">
      <c r="A80" s="9"/>
      <c r="B80" s="14"/>
      <c r="C80" s="10"/>
      <c r="D80" s="9"/>
      <c r="E80" s="9"/>
      <c r="F80" s="9"/>
      <c r="G80" s="11"/>
      <c r="H80" s="11"/>
      <c r="I80" s="61"/>
      <c r="J80" s="9"/>
      <c r="K80" s="11"/>
      <c r="L80" s="9"/>
      <c r="M80" s="14"/>
      <c r="N80" s="12"/>
      <c r="O80" s="12"/>
      <c r="P80" s="13"/>
      <c r="Q80" s="9"/>
      <c r="R80" s="12"/>
      <c r="S80" s="12"/>
      <c r="T80" s="12"/>
      <c r="U80" s="17"/>
    </row>
    <row r="81" spans="1:21" x14ac:dyDescent="0.2">
      <c r="A81" s="9"/>
      <c r="B81" s="14"/>
      <c r="C81" s="10"/>
      <c r="D81" s="9"/>
      <c r="E81" s="9"/>
      <c r="F81" s="9"/>
      <c r="G81" s="11"/>
      <c r="H81" s="11"/>
      <c r="I81" s="61"/>
      <c r="J81" s="9"/>
      <c r="K81" s="11"/>
      <c r="L81" s="9"/>
      <c r="M81" s="14"/>
      <c r="N81" s="12"/>
      <c r="O81" s="12"/>
      <c r="P81" s="13"/>
      <c r="Q81" s="9"/>
      <c r="R81" s="12"/>
      <c r="S81" s="12"/>
      <c r="T81" s="12"/>
      <c r="U81" s="17"/>
    </row>
    <row r="82" spans="1:21" x14ac:dyDescent="0.2">
      <c r="A82" s="9"/>
      <c r="B82" s="14"/>
      <c r="C82" s="10"/>
      <c r="D82" s="9"/>
      <c r="E82" s="9"/>
      <c r="F82" s="9"/>
      <c r="G82" s="11"/>
      <c r="H82" s="11"/>
      <c r="I82" s="61"/>
      <c r="J82" s="9"/>
      <c r="K82" s="11"/>
      <c r="L82" s="9"/>
      <c r="M82" s="14"/>
      <c r="N82" s="12"/>
      <c r="O82" s="12"/>
      <c r="P82" s="13"/>
      <c r="Q82" s="9"/>
      <c r="R82" s="12"/>
      <c r="S82" s="12"/>
      <c r="T82" s="12"/>
      <c r="U82" s="17"/>
    </row>
    <row r="83" spans="1:21" x14ac:dyDescent="0.2">
      <c r="A83" s="9"/>
      <c r="B83" s="14"/>
      <c r="C83" s="10"/>
      <c r="D83" s="9"/>
      <c r="E83" s="9"/>
      <c r="F83" s="9"/>
      <c r="G83" s="11"/>
      <c r="H83" s="11"/>
      <c r="I83" s="61"/>
      <c r="J83" s="9"/>
      <c r="K83" s="11"/>
      <c r="L83" s="9"/>
      <c r="M83" s="14"/>
      <c r="N83" s="12"/>
      <c r="O83" s="12"/>
      <c r="P83" s="13"/>
      <c r="Q83" s="9"/>
      <c r="R83" s="12"/>
      <c r="S83" s="12"/>
      <c r="T83" s="12"/>
      <c r="U83" s="17"/>
    </row>
    <row r="84" spans="1:21" x14ac:dyDescent="0.2">
      <c r="A84" s="9"/>
      <c r="B84" s="14"/>
      <c r="C84" s="10"/>
      <c r="D84" s="9"/>
      <c r="E84" s="9"/>
      <c r="F84" s="9"/>
      <c r="G84" s="11"/>
      <c r="H84" s="11"/>
      <c r="I84" s="61"/>
      <c r="J84" s="9"/>
      <c r="K84" s="11"/>
      <c r="L84" s="9"/>
      <c r="M84" s="14"/>
      <c r="N84" s="12"/>
      <c r="O84" s="12"/>
      <c r="P84" s="13"/>
      <c r="Q84" s="9"/>
      <c r="R84" s="12"/>
      <c r="S84" s="12"/>
      <c r="T84" s="12"/>
      <c r="U84" s="17"/>
    </row>
    <row r="85" spans="1:21" x14ac:dyDescent="0.2">
      <c r="A85" s="9"/>
      <c r="B85" s="14"/>
      <c r="C85" s="10"/>
      <c r="D85" s="9"/>
      <c r="E85" s="9"/>
      <c r="F85" s="9"/>
      <c r="G85" s="11"/>
      <c r="H85" s="11"/>
      <c r="I85" s="61"/>
      <c r="J85" s="9"/>
      <c r="K85" s="11"/>
      <c r="L85" s="9"/>
      <c r="M85" s="14"/>
      <c r="N85" s="12"/>
      <c r="O85" s="12"/>
      <c r="P85" s="13"/>
      <c r="Q85" s="9"/>
      <c r="R85" s="12"/>
      <c r="S85" s="12"/>
      <c r="T85" s="12"/>
      <c r="U85" s="17"/>
    </row>
    <row r="86" spans="1:21" x14ac:dyDescent="0.2">
      <c r="A86" s="9"/>
      <c r="B86" s="14"/>
      <c r="C86" s="10"/>
      <c r="D86" s="9"/>
      <c r="E86" s="9"/>
      <c r="F86" s="9"/>
      <c r="G86" s="11"/>
      <c r="H86" s="11"/>
      <c r="I86" s="61"/>
      <c r="J86" s="9"/>
      <c r="K86" s="11"/>
      <c r="L86" s="9"/>
      <c r="M86" s="14"/>
      <c r="N86" s="12"/>
      <c r="O86" s="12"/>
      <c r="P86" s="13"/>
      <c r="Q86" s="9"/>
      <c r="R86" s="12"/>
      <c r="S86" s="12"/>
      <c r="T86" s="12"/>
      <c r="U86" s="17"/>
    </row>
    <row r="87" spans="1:21" x14ac:dyDescent="0.2">
      <c r="A87" s="9"/>
      <c r="B87" s="14"/>
      <c r="C87" s="10"/>
      <c r="D87" s="9"/>
      <c r="E87" s="9"/>
      <c r="F87" s="9"/>
      <c r="G87" s="11"/>
      <c r="H87" s="11"/>
      <c r="I87" s="61"/>
      <c r="J87" s="9"/>
      <c r="K87" s="11"/>
      <c r="L87" s="9"/>
      <c r="M87" s="14"/>
      <c r="N87" s="12"/>
      <c r="O87" s="12"/>
      <c r="P87" s="13"/>
      <c r="Q87" s="9"/>
      <c r="R87" s="12"/>
      <c r="S87" s="12"/>
      <c r="T87" s="12"/>
      <c r="U87" s="17"/>
    </row>
    <row r="88" spans="1:21" x14ac:dyDescent="0.2">
      <c r="A88" s="9"/>
      <c r="B88" s="14"/>
      <c r="C88" s="10"/>
      <c r="D88" s="9"/>
      <c r="E88" s="9"/>
      <c r="F88" s="9"/>
      <c r="G88" s="11"/>
      <c r="H88" s="11"/>
      <c r="I88" s="61"/>
      <c r="J88" s="9"/>
      <c r="K88" s="11"/>
      <c r="L88" s="9"/>
      <c r="M88" s="14"/>
      <c r="N88" s="12"/>
      <c r="O88" s="12"/>
      <c r="P88" s="13"/>
      <c r="Q88" s="9"/>
      <c r="R88" s="12"/>
      <c r="S88" s="12"/>
      <c r="T88" s="12"/>
      <c r="U88" s="17"/>
    </row>
    <row r="89" spans="1:21" x14ac:dyDescent="0.2">
      <c r="A89" s="9"/>
      <c r="B89" s="14"/>
      <c r="C89" s="10"/>
      <c r="D89" s="9"/>
      <c r="E89" s="9"/>
      <c r="F89" s="9"/>
      <c r="G89" s="11"/>
      <c r="H89" s="11"/>
      <c r="I89" s="61"/>
      <c r="J89" s="9"/>
      <c r="K89" s="11"/>
      <c r="L89" s="9"/>
      <c r="M89" s="14"/>
      <c r="N89" s="12"/>
      <c r="O89" s="12"/>
      <c r="P89" s="13"/>
      <c r="Q89" s="9"/>
      <c r="R89" s="12"/>
      <c r="S89" s="12"/>
      <c r="T89" s="12"/>
      <c r="U89" s="17"/>
    </row>
    <row r="90" spans="1:21" x14ac:dyDescent="0.2">
      <c r="A90" s="9"/>
      <c r="B90" s="14"/>
      <c r="C90" s="10"/>
      <c r="D90" s="9"/>
      <c r="E90" s="9"/>
      <c r="F90" s="9"/>
      <c r="G90" s="11"/>
      <c r="H90" s="11"/>
      <c r="I90" s="61"/>
      <c r="J90" s="9"/>
      <c r="K90" s="11"/>
      <c r="L90" s="9"/>
      <c r="M90" s="14"/>
      <c r="N90" s="12"/>
      <c r="O90" s="12"/>
      <c r="P90" s="13"/>
      <c r="Q90" s="9"/>
      <c r="R90" s="12"/>
      <c r="S90" s="12"/>
      <c r="T90" s="12"/>
      <c r="U90" s="17"/>
    </row>
    <row r="91" spans="1:21" x14ac:dyDescent="0.2">
      <c r="A91" s="9"/>
      <c r="B91" s="14"/>
      <c r="C91" s="10"/>
      <c r="D91" s="9"/>
      <c r="E91" s="9"/>
      <c r="F91" s="9"/>
      <c r="G91" s="11"/>
      <c r="H91" s="11"/>
      <c r="I91" s="61"/>
      <c r="J91" s="9"/>
      <c r="K91" s="11"/>
      <c r="L91" s="9"/>
      <c r="M91" s="14"/>
      <c r="N91" s="12"/>
      <c r="O91" s="12"/>
      <c r="P91" s="13"/>
      <c r="Q91" s="9"/>
      <c r="R91" s="12"/>
      <c r="S91" s="12"/>
      <c r="T91" s="12"/>
      <c r="U91" s="17"/>
    </row>
    <row r="92" spans="1:21" x14ac:dyDescent="0.2">
      <c r="A92" s="9"/>
      <c r="B92" s="14"/>
      <c r="C92" s="10"/>
      <c r="D92" s="9"/>
      <c r="E92" s="9"/>
      <c r="F92" s="9"/>
      <c r="G92" s="11"/>
      <c r="H92" s="11"/>
      <c r="I92" s="61"/>
      <c r="J92" s="9"/>
      <c r="K92" s="11"/>
      <c r="L92" s="9"/>
      <c r="M92" s="14"/>
      <c r="N92" s="12"/>
      <c r="O92" s="12"/>
      <c r="P92" s="13"/>
      <c r="Q92" s="9"/>
      <c r="R92" s="12"/>
      <c r="S92" s="12"/>
      <c r="T92" s="12"/>
      <c r="U92" s="17"/>
    </row>
    <row r="93" spans="1:21" x14ac:dyDescent="0.2">
      <c r="A93" s="9"/>
      <c r="B93" s="14"/>
      <c r="C93" s="10"/>
      <c r="D93" s="9"/>
      <c r="E93" s="9"/>
      <c r="F93" s="9"/>
      <c r="G93" s="11"/>
      <c r="H93" s="11"/>
      <c r="I93" s="61"/>
      <c r="J93" s="9"/>
      <c r="K93" s="11"/>
      <c r="L93" s="9"/>
      <c r="M93" s="14"/>
      <c r="N93" s="12"/>
      <c r="O93" s="12"/>
      <c r="P93" s="13"/>
      <c r="Q93" s="9"/>
      <c r="R93" s="12"/>
      <c r="S93" s="12"/>
      <c r="T93" s="12"/>
      <c r="U93" s="17"/>
    </row>
    <row r="94" spans="1:21" x14ac:dyDescent="0.2">
      <c r="A94" s="9"/>
      <c r="B94" s="14"/>
      <c r="C94" s="10"/>
      <c r="D94" s="9"/>
      <c r="E94" s="9"/>
      <c r="F94" s="9"/>
      <c r="G94" s="11"/>
      <c r="H94" s="11"/>
      <c r="I94" s="61"/>
      <c r="J94" s="9"/>
      <c r="K94" s="11"/>
      <c r="L94" s="9"/>
      <c r="M94" s="14"/>
      <c r="N94" s="12"/>
      <c r="O94" s="12"/>
      <c r="P94" s="13"/>
      <c r="Q94" s="9"/>
      <c r="R94" s="12"/>
      <c r="S94" s="12"/>
      <c r="T94" s="12"/>
      <c r="U94" s="17"/>
    </row>
    <row r="95" spans="1:21" x14ac:dyDescent="0.2">
      <c r="A95" s="9"/>
      <c r="B95" s="14"/>
      <c r="C95" s="10"/>
      <c r="D95" s="9"/>
      <c r="E95" s="9"/>
      <c r="F95" s="9"/>
      <c r="G95" s="11"/>
      <c r="H95" s="11"/>
      <c r="I95" s="61"/>
      <c r="J95" s="9"/>
      <c r="K95" s="11"/>
      <c r="L95" s="9"/>
      <c r="M95" s="14"/>
      <c r="N95" s="12"/>
      <c r="O95" s="12"/>
      <c r="P95" s="13"/>
      <c r="Q95" s="9"/>
      <c r="R95" s="12"/>
      <c r="S95" s="12"/>
      <c r="T95" s="12"/>
      <c r="U95" s="17"/>
    </row>
    <row r="96" spans="1:21" x14ac:dyDescent="0.2">
      <c r="A96" s="9"/>
      <c r="B96" s="14"/>
      <c r="C96" s="10"/>
      <c r="D96" s="9"/>
      <c r="E96" s="9"/>
      <c r="F96" s="9"/>
      <c r="G96" s="11"/>
      <c r="H96" s="11"/>
      <c r="I96" s="61"/>
      <c r="J96" s="9"/>
      <c r="K96" s="11"/>
      <c r="L96" s="9"/>
      <c r="M96" s="14"/>
      <c r="N96" s="12"/>
      <c r="O96" s="12"/>
      <c r="P96" s="13"/>
      <c r="Q96" s="9"/>
      <c r="R96" s="12"/>
      <c r="S96" s="12"/>
      <c r="T96" s="12"/>
      <c r="U96" s="17"/>
    </row>
    <row r="97" spans="1:21" x14ac:dyDescent="0.2">
      <c r="A97" s="9"/>
      <c r="B97" s="14"/>
      <c r="C97" s="10"/>
      <c r="D97" s="9"/>
      <c r="E97" s="9"/>
      <c r="F97" s="9"/>
      <c r="G97" s="11"/>
      <c r="H97" s="11"/>
      <c r="I97" s="61"/>
      <c r="J97" s="9"/>
      <c r="K97" s="11"/>
      <c r="L97" s="9"/>
      <c r="M97" s="14"/>
      <c r="N97" s="12"/>
      <c r="O97" s="12"/>
      <c r="P97" s="13"/>
      <c r="Q97" s="9"/>
      <c r="R97" s="12"/>
      <c r="S97" s="12"/>
      <c r="T97" s="12"/>
      <c r="U97" s="17"/>
    </row>
    <row r="98" spans="1:21" x14ac:dyDescent="0.2">
      <c r="A98" s="9"/>
      <c r="B98" s="14"/>
      <c r="C98" s="10"/>
      <c r="D98" s="9"/>
      <c r="E98" s="9"/>
      <c r="F98" s="9"/>
      <c r="G98" s="11"/>
      <c r="H98" s="11"/>
      <c r="I98" s="61"/>
      <c r="J98" s="9"/>
      <c r="K98" s="11"/>
      <c r="L98" s="9"/>
      <c r="M98" s="14"/>
      <c r="N98" s="12"/>
      <c r="O98" s="12"/>
      <c r="P98" s="13"/>
      <c r="Q98" s="9"/>
      <c r="R98" s="12"/>
      <c r="S98" s="12"/>
      <c r="T98" s="12"/>
      <c r="U98" s="17"/>
    </row>
    <row r="99" spans="1:21" x14ac:dyDescent="0.2">
      <c r="A99" s="9"/>
      <c r="B99" s="14"/>
      <c r="C99" s="10"/>
      <c r="D99" s="9"/>
      <c r="E99" s="9"/>
      <c r="F99" s="9"/>
      <c r="G99" s="11"/>
      <c r="H99" s="11"/>
      <c r="I99" s="61"/>
      <c r="J99" s="9"/>
      <c r="K99" s="11"/>
      <c r="L99" s="9"/>
      <c r="M99" s="14"/>
      <c r="N99" s="12"/>
      <c r="O99" s="12"/>
      <c r="P99" s="13"/>
      <c r="Q99" s="9"/>
      <c r="R99" s="12"/>
      <c r="S99" s="12"/>
      <c r="T99" s="12"/>
      <c r="U99" s="17"/>
    </row>
    <row r="100" spans="1:21" x14ac:dyDescent="0.2">
      <c r="A100" s="9"/>
      <c r="B100" s="14"/>
      <c r="C100" s="10"/>
      <c r="D100" s="9"/>
      <c r="E100" s="9"/>
      <c r="F100" s="9"/>
      <c r="G100" s="11"/>
      <c r="H100" s="11"/>
      <c r="I100" s="61"/>
      <c r="J100" s="9"/>
      <c r="K100" s="11"/>
      <c r="L100" s="9"/>
      <c r="M100" s="14"/>
      <c r="N100" s="12"/>
      <c r="O100" s="12"/>
      <c r="P100" s="13"/>
      <c r="Q100" s="9"/>
      <c r="R100" s="12"/>
      <c r="S100" s="12"/>
      <c r="T100" s="12"/>
      <c r="U100" s="17"/>
    </row>
    <row r="101" spans="1:21" x14ac:dyDescent="0.2">
      <c r="A101" s="9"/>
      <c r="B101" s="14"/>
      <c r="C101" s="10"/>
      <c r="D101" s="9"/>
      <c r="E101" s="9"/>
      <c r="F101" s="9"/>
      <c r="G101" s="11"/>
      <c r="H101" s="11"/>
      <c r="I101" s="61"/>
      <c r="J101" s="9"/>
      <c r="K101" s="11"/>
      <c r="L101" s="9"/>
      <c r="M101" s="14"/>
      <c r="N101" s="12"/>
      <c r="O101" s="12"/>
      <c r="P101" s="13"/>
      <c r="Q101" s="9"/>
      <c r="R101" s="12"/>
      <c r="S101" s="12"/>
      <c r="T101" s="12"/>
      <c r="U101" s="17"/>
    </row>
    <row r="102" spans="1:21" x14ac:dyDescent="0.2">
      <c r="A102" s="9"/>
      <c r="B102" s="14"/>
      <c r="C102" s="10"/>
      <c r="D102" s="9"/>
      <c r="E102" s="9"/>
      <c r="F102" s="9"/>
      <c r="G102" s="11"/>
      <c r="H102" s="11"/>
      <c r="I102" s="61"/>
      <c r="J102" s="9"/>
      <c r="K102" s="11"/>
      <c r="L102" s="9"/>
      <c r="M102" s="14"/>
      <c r="N102" s="12"/>
      <c r="O102" s="12"/>
      <c r="P102" s="13"/>
      <c r="Q102" s="9"/>
      <c r="R102" s="12"/>
      <c r="S102" s="12"/>
      <c r="T102" s="12"/>
      <c r="U102" s="17"/>
    </row>
    <row r="103" spans="1:21" x14ac:dyDescent="0.2">
      <c r="A103" s="9"/>
      <c r="B103" s="14"/>
      <c r="C103" s="10"/>
      <c r="D103" s="9"/>
      <c r="E103" s="9"/>
      <c r="F103" s="9"/>
      <c r="G103" s="11"/>
      <c r="H103" s="11"/>
      <c r="I103" s="61"/>
      <c r="J103" s="9"/>
      <c r="K103" s="11"/>
      <c r="L103" s="9"/>
      <c r="M103" s="14"/>
      <c r="N103" s="12"/>
      <c r="O103" s="12"/>
      <c r="P103" s="13"/>
      <c r="Q103" s="9"/>
      <c r="R103" s="12"/>
      <c r="S103" s="12"/>
      <c r="T103" s="12"/>
      <c r="U103" s="17"/>
    </row>
    <row r="104" spans="1:21" x14ac:dyDescent="0.2">
      <c r="A104" s="9"/>
      <c r="B104" s="14"/>
      <c r="C104" s="10"/>
      <c r="D104" s="9"/>
      <c r="E104" s="9"/>
      <c r="F104" s="9"/>
      <c r="G104" s="11"/>
      <c r="H104" s="11"/>
      <c r="I104" s="61"/>
      <c r="J104" s="9"/>
      <c r="K104" s="11"/>
      <c r="L104" s="9"/>
      <c r="M104" s="14"/>
      <c r="N104" s="12"/>
      <c r="O104" s="12"/>
      <c r="P104" s="13"/>
      <c r="Q104" s="9"/>
      <c r="R104" s="12"/>
      <c r="S104" s="12"/>
      <c r="T104" s="12"/>
      <c r="U104" s="17"/>
    </row>
    <row r="105" spans="1:21" x14ac:dyDescent="0.2">
      <c r="A105" s="9"/>
      <c r="B105" s="14"/>
      <c r="C105" s="10"/>
      <c r="D105" s="9"/>
      <c r="E105" s="9"/>
      <c r="F105" s="9"/>
      <c r="G105" s="11"/>
      <c r="H105" s="11"/>
      <c r="I105" s="61"/>
      <c r="J105" s="9"/>
      <c r="K105" s="11"/>
      <c r="L105" s="9"/>
      <c r="M105" s="14"/>
      <c r="N105" s="12"/>
      <c r="O105" s="12"/>
      <c r="P105" s="13"/>
      <c r="Q105" s="9"/>
      <c r="R105" s="12"/>
      <c r="S105" s="12"/>
      <c r="T105" s="12"/>
      <c r="U105" s="17"/>
    </row>
    <row r="106" spans="1:21" x14ac:dyDescent="0.2">
      <c r="A106" s="9"/>
      <c r="B106" s="14"/>
      <c r="C106" s="10"/>
      <c r="D106" s="9"/>
      <c r="E106" s="9"/>
      <c r="F106" s="9"/>
      <c r="G106" s="11"/>
      <c r="H106" s="11"/>
      <c r="I106" s="61"/>
      <c r="J106" s="9"/>
      <c r="K106" s="11"/>
      <c r="L106" s="9"/>
      <c r="M106" s="14"/>
      <c r="N106" s="12"/>
      <c r="O106" s="12"/>
      <c r="P106" s="13"/>
      <c r="Q106" s="9"/>
      <c r="R106" s="12"/>
      <c r="S106" s="12"/>
      <c r="T106" s="12"/>
      <c r="U106" s="17"/>
    </row>
    <row r="107" spans="1:21" x14ac:dyDescent="0.2">
      <c r="A107" s="9"/>
      <c r="B107" s="14"/>
      <c r="C107" s="10"/>
      <c r="D107" s="9"/>
      <c r="E107" s="9"/>
      <c r="F107" s="9"/>
      <c r="G107" s="11"/>
      <c r="H107" s="11"/>
      <c r="I107" s="61"/>
      <c r="J107" s="9"/>
      <c r="K107" s="11"/>
      <c r="L107" s="9"/>
      <c r="M107" s="14"/>
      <c r="N107" s="12"/>
      <c r="O107" s="12"/>
      <c r="P107" s="13"/>
      <c r="Q107" s="9"/>
      <c r="R107" s="12"/>
      <c r="S107" s="12"/>
      <c r="T107" s="12"/>
      <c r="U107" s="17"/>
    </row>
    <row r="108" spans="1:21" x14ac:dyDescent="0.2">
      <c r="A108" s="9"/>
      <c r="B108" s="14"/>
      <c r="C108" s="10"/>
      <c r="D108" s="9"/>
      <c r="E108" s="9"/>
      <c r="F108" s="9"/>
      <c r="G108" s="11"/>
      <c r="H108" s="11"/>
      <c r="I108" s="61"/>
      <c r="J108" s="9"/>
      <c r="K108" s="11"/>
      <c r="L108" s="9"/>
      <c r="M108" s="14"/>
      <c r="N108" s="12"/>
      <c r="O108" s="12"/>
      <c r="P108" s="13"/>
      <c r="Q108" s="9"/>
      <c r="R108" s="12"/>
      <c r="S108" s="12"/>
      <c r="T108" s="12"/>
      <c r="U108" s="17"/>
    </row>
    <row r="109" spans="1:21" x14ac:dyDescent="0.2">
      <c r="A109" s="9"/>
      <c r="B109" s="14"/>
      <c r="C109" s="10"/>
      <c r="D109" s="9"/>
      <c r="E109" s="9"/>
      <c r="F109" s="9"/>
      <c r="G109" s="11"/>
      <c r="H109" s="11"/>
      <c r="I109" s="61"/>
      <c r="J109" s="9"/>
      <c r="K109" s="11"/>
      <c r="L109" s="9"/>
      <c r="M109" s="14"/>
      <c r="N109" s="12"/>
      <c r="O109" s="12"/>
      <c r="P109" s="13"/>
      <c r="Q109" s="9"/>
      <c r="R109" s="12"/>
      <c r="S109" s="12"/>
      <c r="T109" s="12"/>
      <c r="U109" s="17"/>
    </row>
    <row r="110" spans="1:21" x14ac:dyDescent="0.2">
      <c r="A110" s="9"/>
      <c r="B110" s="14"/>
      <c r="C110" s="10"/>
      <c r="D110" s="9"/>
      <c r="E110" s="9"/>
      <c r="F110" s="9"/>
      <c r="G110" s="11"/>
      <c r="H110" s="11"/>
      <c r="I110" s="61"/>
      <c r="J110" s="9"/>
      <c r="K110" s="11"/>
      <c r="L110" s="9"/>
      <c r="M110" s="14"/>
      <c r="N110" s="12"/>
      <c r="O110" s="12"/>
      <c r="P110" s="13"/>
      <c r="Q110" s="9"/>
      <c r="R110" s="12"/>
      <c r="S110" s="12"/>
      <c r="T110" s="12"/>
      <c r="U110" s="17"/>
    </row>
    <row r="111" spans="1:21" x14ac:dyDescent="0.2">
      <c r="A111" s="9"/>
      <c r="B111" s="14"/>
      <c r="C111" s="10"/>
      <c r="D111" s="9"/>
      <c r="E111" s="9"/>
      <c r="F111" s="9"/>
      <c r="G111" s="11"/>
      <c r="H111" s="11"/>
      <c r="I111" s="61"/>
      <c r="J111" s="9"/>
      <c r="K111" s="11"/>
      <c r="L111" s="9"/>
      <c r="M111" s="14"/>
      <c r="N111" s="12"/>
      <c r="O111" s="12"/>
      <c r="P111" s="13"/>
      <c r="Q111" s="9"/>
      <c r="R111" s="12"/>
      <c r="S111" s="12"/>
      <c r="T111" s="12"/>
      <c r="U111" s="17"/>
    </row>
    <row r="112" spans="1:21" x14ac:dyDescent="0.2">
      <c r="A112" s="9"/>
      <c r="B112" s="14"/>
      <c r="C112" s="10"/>
      <c r="D112" s="9"/>
      <c r="E112" s="9"/>
      <c r="F112" s="9"/>
      <c r="G112" s="11"/>
      <c r="H112" s="11"/>
      <c r="I112" s="61"/>
      <c r="J112" s="9"/>
      <c r="K112" s="11"/>
      <c r="L112" s="9"/>
      <c r="M112" s="14"/>
      <c r="N112" s="12"/>
      <c r="O112" s="12"/>
      <c r="P112" s="13"/>
      <c r="Q112" s="9"/>
      <c r="R112" s="12"/>
      <c r="S112" s="12"/>
      <c r="T112" s="12"/>
      <c r="U112" s="17"/>
    </row>
    <row r="113" spans="1:21" x14ac:dyDescent="0.2">
      <c r="A113" s="9"/>
      <c r="B113" s="14"/>
      <c r="C113" s="10"/>
      <c r="D113" s="9"/>
      <c r="E113" s="9"/>
      <c r="F113" s="9"/>
      <c r="G113" s="11"/>
      <c r="H113" s="11"/>
      <c r="I113" s="61"/>
      <c r="J113" s="9"/>
      <c r="K113" s="11"/>
      <c r="L113" s="9"/>
      <c r="M113" s="14"/>
      <c r="N113" s="12"/>
      <c r="O113" s="12"/>
      <c r="P113" s="13"/>
      <c r="Q113" s="9"/>
      <c r="R113" s="12"/>
      <c r="S113" s="12"/>
      <c r="T113" s="12"/>
      <c r="U113" s="17"/>
    </row>
    <row r="114" spans="1:21" x14ac:dyDescent="0.2">
      <c r="A114" s="9"/>
      <c r="B114" s="14"/>
      <c r="C114" s="10"/>
      <c r="D114" s="9"/>
      <c r="E114" s="9"/>
      <c r="F114" s="9"/>
      <c r="G114" s="11"/>
      <c r="H114" s="11"/>
      <c r="I114" s="61"/>
      <c r="J114" s="9"/>
      <c r="K114" s="11"/>
      <c r="L114" s="9"/>
      <c r="M114" s="14"/>
      <c r="N114" s="12"/>
      <c r="O114" s="12"/>
      <c r="P114" s="13"/>
      <c r="Q114" s="9"/>
      <c r="R114" s="12"/>
      <c r="S114" s="12"/>
      <c r="T114" s="12"/>
      <c r="U114" s="17"/>
    </row>
    <row r="115" spans="1:21" x14ac:dyDescent="0.2">
      <c r="A115" s="9"/>
      <c r="B115" s="14"/>
      <c r="C115" s="10"/>
      <c r="D115" s="9"/>
      <c r="E115" s="9"/>
      <c r="F115" s="9"/>
      <c r="G115" s="11"/>
      <c r="H115" s="11"/>
      <c r="I115" s="61"/>
      <c r="J115" s="9"/>
      <c r="K115" s="11"/>
      <c r="L115" s="9"/>
      <c r="M115" s="14"/>
      <c r="N115" s="12"/>
      <c r="O115" s="12"/>
      <c r="P115" s="13"/>
      <c r="Q115" s="9"/>
      <c r="R115" s="12"/>
      <c r="S115" s="12"/>
      <c r="T115" s="12"/>
      <c r="U115" s="17"/>
    </row>
    <row r="116" spans="1:21" x14ac:dyDescent="0.2">
      <c r="A116" s="9"/>
      <c r="B116" s="14"/>
      <c r="C116" s="10"/>
      <c r="D116" s="9"/>
      <c r="E116" s="9"/>
      <c r="F116" s="9"/>
      <c r="G116" s="11"/>
      <c r="H116" s="11"/>
      <c r="I116" s="61"/>
      <c r="J116" s="9"/>
      <c r="K116" s="11"/>
      <c r="L116" s="9"/>
      <c r="M116" s="14"/>
      <c r="N116" s="12"/>
      <c r="O116" s="12"/>
      <c r="P116" s="13"/>
      <c r="Q116" s="9"/>
      <c r="R116" s="12"/>
      <c r="S116" s="12"/>
      <c r="T116" s="12"/>
      <c r="U116" s="17"/>
    </row>
    <row r="117" spans="1:21" x14ac:dyDescent="0.2">
      <c r="A117" s="9"/>
      <c r="B117" s="14"/>
      <c r="C117" s="10"/>
      <c r="D117" s="9"/>
      <c r="E117" s="9"/>
      <c r="F117" s="9"/>
      <c r="G117" s="11"/>
      <c r="H117" s="11"/>
      <c r="I117" s="61"/>
      <c r="J117" s="9"/>
      <c r="K117" s="11"/>
      <c r="L117" s="9"/>
      <c r="M117" s="14"/>
      <c r="N117" s="12"/>
      <c r="O117" s="12"/>
      <c r="P117" s="13"/>
      <c r="Q117" s="9"/>
      <c r="R117" s="12"/>
      <c r="S117" s="12"/>
      <c r="T117" s="12"/>
      <c r="U117" s="17"/>
    </row>
    <row r="118" spans="1:21" x14ac:dyDescent="0.2">
      <c r="A118" s="9"/>
      <c r="B118" s="14"/>
      <c r="C118" s="10"/>
      <c r="D118" s="9"/>
      <c r="E118" s="9"/>
      <c r="F118" s="9"/>
      <c r="G118" s="11"/>
      <c r="H118" s="11"/>
      <c r="I118" s="61"/>
      <c r="J118" s="9"/>
      <c r="K118" s="11"/>
      <c r="L118" s="9"/>
      <c r="M118" s="14"/>
      <c r="N118" s="12"/>
      <c r="O118" s="12"/>
      <c r="P118" s="13"/>
      <c r="Q118" s="9"/>
      <c r="R118" s="12"/>
      <c r="S118" s="12"/>
      <c r="T118" s="12"/>
      <c r="U118" s="17"/>
    </row>
    <row r="119" spans="1:21" x14ac:dyDescent="0.2">
      <c r="A119" s="9"/>
      <c r="B119" s="14"/>
      <c r="C119" s="10"/>
      <c r="D119" s="9"/>
      <c r="E119" s="9"/>
      <c r="F119" s="9"/>
      <c r="G119" s="11"/>
      <c r="H119" s="11"/>
      <c r="I119" s="61"/>
      <c r="J119" s="9"/>
      <c r="K119" s="11"/>
      <c r="L119" s="9"/>
      <c r="M119" s="14"/>
      <c r="N119" s="12"/>
      <c r="O119" s="12"/>
      <c r="P119" s="13"/>
      <c r="Q119" s="9"/>
      <c r="R119" s="12"/>
      <c r="S119" s="12"/>
      <c r="T119" s="12"/>
      <c r="U119" s="17"/>
    </row>
    <row r="120" spans="1:21" x14ac:dyDescent="0.2">
      <c r="A120" s="9"/>
      <c r="B120" s="14"/>
      <c r="C120" s="10"/>
      <c r="D120" s="9"/>
      <c r="E120" s="9"/>
      <c r="F120" s="9"/>
      <c r="G120" s="11"/>
      <c r="H120" s="11"/>
      <c r="I120" s="61"/>
      <c r="J120" s="9"/>
      <c r="K120" s="11"/>
      <c r="L120" s="9"/>
      <c r="M120" s="14"/>
      <c r="N120" s="12"/>
      <c r="O120" s="12"/>
      <c r="P120" s="13"/>
      <c r="Q120" s="9"/>
      <c r="R120" s="12"/>
      <c r="S120" s="12"/>
      <c r="T120" s="12"/>
      <c r="U120" s="17"/>
    </row>
    <row r="121" spans="1:21" x14ac:dyDescent="0.2">
      <c r="A121" s="9"/>
      <c r="B121" s="14"/>
      <c r="C121" s="10"/>
      <c r="D121" s="9"/>
      <c r="E121" s="9"/>
      <c r="F121" s="9"/>
      <c r="G121" s="11"/>
      <c r="H121" s="11"/>
      <c r="I121" s="61"/>
      <c r="J121" s="9"/>
      <c r="K121" s="11"/>
      <c r="L121" s="9"/>
      <c r="M121" s="14"/>
      <c r="N121" s="12"/>
      <c r="O121" s="12"/>
      <c r="P121" s="13"/>
      <c r="Q121" s="9"/>
      <c r="R121" s="12"/>
      <c r="S121" s="12"/>
      <c r="T121" s="12"/>
      <c r="U121" s="17"/>
    </row>
    <row r="122" spans="1:21" x14ac:dyDescent="0.2">
      <c r="A122" s="9"/>
      <c r="B122" s="14"/>
      <c r="C122" s="10"/>
      <c r="D122" s="9"/>
      <c r="E122" s="9"/>
      <c r="F122" s="9"/>
      <c r="G122" s="11"/>
      <c r="H122" s="11"/>
      <c r="I122" s="61"/>
      <c r="J122" s="9"/>
      <c r="K122" s="11"/>
      <c r="L122" s="9"/>
      <c r="M122" s="14"/>
      <c r="N122" s="12"/>
      <c r="O122" s="12"/>
      <c r="P122" s="13"/>
      <c r="Q122" s="9"/>
      <c r="R122" s="12"/>
      <c r="S122" s="12"/>
      <c r="T122" s="12"/>
      <c r="U122" s="17"/>
    </row>
    <row r="123" spans="1:21" x14ac:dyDescent="0.2">
      <c r="A123" s="9"/>
      <c r="B123" s="14"/>
      <c r="C123" s="10"/>
      <c r="D123" s="9"/>
      <c r="E123" s="9"/>
      <c r="F123" s="9"/>
      <c r="G123" s="11"/>
      <c r="H123" s="11"/>
      <c r="I123" s="61"/>
      <c r="J123" s="9"/>
      <c r="K123" s="11"/>
      <c r="L123" s="9"/>
      <c r="M123" s="14"/>
      <c r="N123" s="12"/>
      <c r="O123" s="12"/>
      <c r="P123" s="13"/>
      <c r="Q123" s="9"/>
      <c r="R123" s="12"/>
      <c r="S123" s="12"/>
      <c r="T123" s="12"/>
      <c r="U123" s="17"/>
    </row>
    <row r="124" spans="1:21" x14ac:dyDescent="0.2">
      <c r="A124" s="9"/>
      <c r="B124" s="14"/>
      <c r="C124" s="10"/>
      <c r="D124" s="9"/>
      <c r="E124" s="9"/>
      <c r="F124" s="9"/>
      <c r="G124" s="11"/>
      <c r="H124" s="11"/>
      <c r="I124" s="61"/>
      <c r="J124" s="9"/>
      <c r="K124" s="11"/>
      <c r="L124" s="9"/>
      <c r="M124" s="14"/>
      <c r="N124" s="12"/>
      <c r="O124" s="12"/>
      <c r="P124" s="13"/>
      <c r="Q124" s="9"/>
      <c r="R124" s="12"/>
      <c r="S124" s="12"/>
      <c r="T124" s="12"/>
      <c r="U124" s="17"/>
    </row>
    <row r="125" spans="1:21" x14ac:dyDescent="0.2">
      <c r="A125" s="9"/>
      <c r="B125" s="14"/>
      <c r="C125" s="10"/>
      <c r="D125" s="9"/>
      <c r="E125" s="9"/>
      <c r="F125" s="9"/>
      <c r="G125" s="11"/>
      <c r="H125" s="11"/>
      <c r="I125" s="61"/>
      <c r="J125" s="9"/>
      <c r="K125" s="11"/>
      <c r="L125" s="9"/>
      <c r="M125" s="14"/>
      <c r="N125" s="12"/>
      <c r="O125" s="12"/>
      <c r="P125" s="13"/>
      <c r="Q125" s="9"/>
      <c r="R125" s="12"/>
      <c r="S125" s="12"/>
      <c r="T125" s="12"/>
      <c r="U125" s="17"/>
    </row>
    <row r="126" spans="1:21" x14ac:dyDescent="0.2">
      <c r="A126" s="9"/>
      <c r="B126" s="14"/>
      <c r="C126" s="10"/>
      <c r="D126" s="9"/>
      <c r="E126" s="9"/>
      <c r="F126" s="9"/>
      <c r="G126" s="11"/>
      <c r="H126" s="11"/>
      <c r="I126" s="61"/>
      <c r="J126" s="9"/>
      <c r="K126" s="11"/>
      <c r="L126" s="9"/>
      <c r="M126" s="14"/>
      <c r="N126" s="12"/>
      <c r="O126" s="12"/>
      <c r="P126" s="13"/>
      <c r="Q126" s="9"/>
      <c r="R126" s="12"/>
      <c r="S126" s="12"/>
      <c r="T126" s="12"/>
      <c r="U126" s="17"/>
    </row>
    <row r="127" spans="1:21" x14ac:dyDescent="0.2">
      <c r="A127" s="9"/>
      <c r="B127" s="14"/>
      <c r="C127" s="10"/>
      <c r="D127" s="9"/>
      <c r="E127" s="9"/>
      <c r="F127" s="9"/>
      <c r="G127" s="11"/>
      <c r="H127" s="11"/>
      <c r="I127" s="61"/>
      <c r="J127" s="9"/>
      <c r="K127" s="11"/>
      <c r="L127" s="9"/>
      <c r="M127" s="14"/>
      <c r="N127" s="12"/>
      <c r="O127" s="12"/>
      <c r="P127" s="13"/>
      <c r="Q127" s="9"/>
      <c r="R127" s="12"/>
      <c r="S127" s="12"/>
      <c r="T127" s="12"/>
      <c r="U127" s="17"/>
    </row>
    <row r="128" spans="1:21" x14ac:dyDescent="0.2">
      <c r="A128" s="9"/>
      <c r="B128" s="14"/>
      <c r="C128" s="10"/>
      <c r="D128" s="9"/>
      <c r="E128" s="9"/>
      <c r="F128" s="9"/>
      <c r="G128" s="11"/>
      <c r="H128" s="11"/>
      <c r="I128" s="61"/>
      <c r="J128" s="9"/>
      <c r="K128" s="11"/>
      <c r="L128" s="9"/>
      <c r="M128" s="14"/>
      <c r="N128" s="12"/>
      <c r="O128" s="12"/>
      <c r="P128" s="13"/>
      <c r="Q128" s="9"/>
      <c r="R128" s="12"/>
      <c r="S128" s="12"/>
      <c r="T128" s="12"/>
      <c r="U128" s="17"/>
    </row>
    <row r="129" spans="1:21" x14ac:dyDescent="0.2">
      <c r="A129" s="9"/>
      <c r="B129" s="14"/>
      <c r="C129" s="10"/>
      <c r="D129" s="9"/>
      <c r="E129" s="9"/>
      <c r="F129" s="9"/>
      <c r="G129" s="11"/>
      <c r="H129" s="11"/>
      <c r="I129" s="61"/>
      <c r="J129" s="9"/>
      <c r="K129" s="11"/>
      <c r="L129" s="9"/>
      <c r="M129" s="14"/>
      <c r="N129" s="12"/>
      <c r="O129" s="12"/>
      <c r="P129" s="13"/>
      <c r="Q129" s="9"/>
      <c r="R129" s="12"/>
      <c r="S129" s="12"/>
      <c r="T129" s="12"/>
      <c r="U129" s="17"/>
    </row>
    <row r="130" spans="1:21" x14ac:dyDescent="0.2">
      <c r="A130" s="9"/>
      <c r="B130" s="14"/>
      <c r="C130" s="10"/>
      <c r="D130" s="9"/>
      <c r="E130" s="9"/>
      <c r="F130" s="9"/>
      <c r="G130" s="11"/>
      <c r="H130" s="11"/>
      <c r="I130" s="61"/>
      <c r="J130" s="9"/>
      <c r="K130" s="11"/>
      <c r="L130" s="9"/>
      <c r="M130" s="14"/>
      <c r="N130" s="12"/>
      <c r="O130" s="12"/>
      <c r="P130" s="13"/>
      <c r="Q130" s="9"/>
      <c r="R130" s="12"/>
      <c r="S130" s="12"/>
      <c r="T130" s="12"/>
      <c r="U130" s="17"/>
    </row>
    <row r="131" spans="1:21" x14ac:dyDescent="0.2">
      <c r="A131" s="9"/>
      <c r="B131" s="14"/>
      <c r="C131" s="10"/>
      <c r="D131" s="9"/>
      <c r="E131" s="9"/>
      <c r="F131" s="9"/>
      <c r="G131" s="11"/>
      <c r="H131" s="11"/>
      <c r="I131" s="61"/>
      <c r="J131" s="9"/>
      <c r="K131" s="11"/>
      <c r="L131" s="9"/>
      <c r="M131" s="14"/>
      <c r="N131" s="12"/>
      <c r="O131" s="12"/>
      <c r="P131" s="13"/>
      <c r="Q131" s="9"/>
      <c r="R131" s="12"/>
      <c r="S131" s="12"/>
      <c r="T131" s="12"/>
      <c r="U131" s="17"/>
    </row>
    <row r="132" spans="1:21" x14ac:dyDescent="0.2">
      <c r="A132" s="9"/>
      <c r="B132" s="14"/>
      <c r="C132" s="10"/>
      <c r="D132" s="9"/>
      <c r="E132" s="9"/>
      <c r="F132" s="9"/>
      <c r="G132" s="11"/>
      <c r="H132" s="11"/>
      <c r="I132" s="61"/>
      <c r="J132" s="9"/>
      <c r="K132" s="11"/>
      <c r="L132" s="9"/>
      <c r="M132" s="14"/>
      <c r="N132" s="12"/>
      <c r="O132" s="12"/>
      <c r="P132" s="13"/>
      <c r="Q132" s="9"/>
      <c r="R132" s="12"/>
      <c r="S132" s="12"/>
      <c r="T132" s="12"/>
      <c r="U132" s="17"/>
    </row>
    <row r="133" spans="1:21" x14ac:dyDescent="0.2">
      <c r="A133" s="9"/>
      <c r="B133" s="14"/>
      <c r="C133" s="10"/>
      <c r="D133" s="9"/>
      <c r="E133" s="9"/>
      <c r="F133" s="9"/>
      <c r="G133" s="11"/>
      <c r="H133" s="11"/>
      <c r="I133" s="61"/>
      <c r="J133" s="9"/>
      <c r="K133" s="11"/>
      <c r="L133" s="9"/>
      <c r="M133" s="14"/>
      <c r="N133" s="12"/>
      <c r="O133" s="12"/>
      <c r="P133" s="13"/>
      <c r="Q133" s="9"/>
      <c r="R133" s="12"/>
      <c r="S133" s="12"/>
      <c r="T133" s="12"/>
      <c r="U133" s="17"/>
    </row>
    <row r="134" spans="1:21" x14ac:dyDescent="0.2">
      <c r="A134" s="9"/>
      <c r="B134" s="14"/>
      <c r="C134" s="10"/>
      <c r="D134" s="9"/>
      <c r="E134" s="9"/>
      <c r="F134" s="9"/>
      <c r="G134" s="11"/>
      <c r="H134" s="11"/>
      <c r="I134" s="61"/>
      <c r="J134" s="9"/>
      <c r="K134" s="11"/>
      <c r="L134" s="9"/>
      <c r="M134" s="14"/>
      <c r="N134" s="12"/>
      <c r="O134" s="12"/>
      <c r="P134" s="13"/>
      <c r="Q134" s="9"/>
      <c r="R134" s="12"/>
      <c r="S134" s="12"/>
      <c r="T134" s="12"/>
      <c r="U134" s="17"/>
    </row>
    <row r="135" spans="1:21" x14ac:dyDescent="0.2">
      <c r="A135" s="9"/>
      <c r="B135" s="14"/>
      <c r="C135" s="10"/>
      <c r="D135" s="9"/>
      <c r="E135" s="9"/>
      <c r="F135" s="9"/>
      <c r="G135" s="11"/>
      <c r="H135" s="11"/>
      <c r="I135" s="61"/>
      <c r="J135" s="9"/>
      <c r="K135" s="11"/>
      <c r="L135" s="9"/>
      <c r="M135" s="14"/>
      <c r="N135" s="12"/>
      <c r="O135" s="12"/>
      <c r="P135" s="13"/>
      <c r="Q135" s="9"/>
      <c r="R135" s="12"/>
      <c r="S135" s="12"/>
      <c r="T135" s="12"/>
      <c r="U135" s="17"/>
    </row>
    <row r="136" spans="1:21" x14ac:dyDescent="0.2">
      <c r="A136" s="9"/>
      <c r="B136" s="14"/>
      <c r="C136" s="10"/>
      <c r="D136" s="9"/>
      <c r="E136" s="9"/>
      <c r="F136" s="9"/>
      <c r="G136" s="11"/>
      <c r="H136" s="11"/>
      <c r="I136" s="61"/>
      <c r="J136" s="9"/>
      <c r="K136" s="11"/>
      <c r="L136" s="9"/>
      <c r="M136" s="14"/>
      <c r="N136" s="12"/>
      <c r="O136" s="12"/>
      <c r="P136" s="13"/>
      <c r="Q136" s="9"/>
      <c r="R136" s="12"/>
      <c r="S136" s="12"/>
      <c r="T136" s="12"/>
      <c r="U136" s="17"/>
    </row>
    <row r="137" spans="1:21" x14ac:dyDescent="0.2">
      <c r="A137" s="9"/>
      <c r="B137" s="14"/>
      <c r="C137" s="10"/>
      <c r="D137" s="9"/>
      <c r="E137" s="9"/>
      <c r="F137" s="9"/>
      <c r="G137" s="11"/>
      <c r="H137" s="11"/>
      <c r="I137" s="61"/>
      <c r="J137" s="9"/>
      <c r="K137" s="11"/>
      <c r="L137" s="9"/>
      <c r="M137" s="14"/>
      <c r="N137" s="12"/>
      <c r="O137" s="12"/>
      <c r="P137" s="13"/>
      <c r="Q137" s="9"/>
      <c r="R137" s="12"/>
      <c r="S137" s="12"/>
      <c r="T137" s="12"/>
      <c r="U137" s="17"/>
    </row>
    <row r="138" spans="1:21" x14ac:dyDescent="0.2">
      <c r="A138" s="9"/>
      <c r="B138" s="14"/>
      <c r="C138" s="10"/>
      <c r="D138" s="9"/>
      <c r="E138" s="9"/>
      <c r="F138" s="9"/>
      <c r="G138" s="11"/>
      <c r="H138" s="11"/>
      <c r="I138" s="61"/>
      <c r="J138" s="9"/>
      <c r="K138" s="11"/>
      <c r="L138" s="9"/>
      <c r="M138" s="14"/>
      <c r="N138" s="12"/>
      <c r="O138" s="12"/>
      <c r="P138" s="13"/>
      <c r="Q138" s="9"/>
      <c r="R138" s="12"/>
      <c r="S138" s="12"/>
      <c r="T138" s="12"/>
      <c r="U138" s="17"/>
    </row>
    <row r="139" spans="1:21" x14ac:dyDescent="0.2">
      <c r="A139" s="9"/>
      <c r="B139" s="14"/>
      <c r="C139" s="10"/>
      <c r="D139" s="9"/>
      <c r="E139" s="9"/>
      <c r="F139" s="9"/>
      <c r="G139" s="11"/>
      <c r="H139" s="11"/>
      <c r="I139" s="61"/>
      <c r="J139" s="9"/>
      <c r="K139" s="11"/>
      <c r="L139" s="9"/>
      <c r="M139" s="14"/>
      <c r="N139" s="12"/>
      <c r="O139" s="12"/>
      <c r="P139" s="13"/>
      <c r="Q139" s="9"/>
      <c r="R139" s="12"/>
      <c r="S139" s="12"/>
      <c r="T139" s="12"/>
      <c r="U139" s="17"/>
    </row>
    <row r="140" spans="1:21" x14ac:dyDescent="0.2">
      <c r="A140" s="9"/>
      <c r="B140" s="14"/>
      <c r="C140" s="10"/>
      <c r="D140" s="9"/>
      <c r="E140" s="9"/>
      <c r="F140" s="9"/>
      <c r="G140" s="11"/>
      <c r="H140" s="11"/>
      <c r="I140" s="61"/>
      <c r="J140" s="9"/>
      <c r="K140" s="11"/>
      <c r="L140" s="9"/>
      <c r="M140" s="14"/>
      <c r="N140" s="12"/>
      <c r="O140" s="12"/>
      <c r="P140" s="13"/>
      <c r="Q140" s="9"/>
      <c r="R140" s="12"/>
      <c r="S140" s="12"/>
      <c r="T140" s="12"/>
      <c r="U140" s="17"/>
    </row>
    <row r="141" spans="1:21" x14ac:dyDescent="0.2">
      <c r="A141" s="9"/>
      <c r="B141" s="14"/>
      <c r="C141" s="10"/>
      <c r="D141" s="9"/>
      <c r="E141" s="9"/>
      <c r="F141" s="9"/>
      <c r="G141" s="11"/>
      <c r="H141" s="11"/>
      <c r="I141" s="61"/>
      <c r="J141" s="9"/>
      <c r="K141" s="11"/>
      <c r="L141" s="9"/>
      <c r="M141" s="14"/>
      <c r="N141" s="12"/>
      <c r="O141" s="12"/>
      <c r="P141" s="13"/>
      <c r="Q141" s="9"/>
      <c r="R141" s="12"/>
      <c r="S141" s="12"/>
      <c r="T141" s="12"/>
      <c r="U141" s="17"/>
    </row>
    <row r="142" spans="1:21" x14ac:dyDescent="0.2">
      <c r="A142" s="9"/>
      <c r="B142" s="14"/>
      <c r="C142" s="10"/>
      <c r="D142" s="9"/>
      <c r="E142" s="9"/>
      <c r="F142" s="9"/>
      <c r="G142" s="11"/>
      <c r="H142" s="11"/>
      <c r="I142" s="61"/>
      <c r="J142" s="9"/>
      <c r="K142" s="11"/>
      <c r="L142" s="9"/>
      <c r="M142" s="14"/>
      <c r="N142" s="12"/>
      <c r="O142" s="12"/>
      <c r="P142" s="13"/>
      <c r="Q142" s="9"/>
      <c r="R142" s="12"/>
      <c r="S142" s="12"/>
      <c r="T142" s="12"/>
      <c r="U142" s="17"/>
    </row>
    <row r="143" spans="1:21" x14ac:dyDescent="0.2">
      <c r="A143" s="9"/>
      <c r="B143" s="14"/>
      <c r="C143" s="10"/>
      <c r="D143" s="9"/>
      <c r="E143" s="9"/>
      <c r="F143" s="9"/>
      <c r="G143" s="11"/>
      <c r="H143" s="11"/>
      <c r="I143" s="61"/>
      <c r="J143" s="9"/>
      <c r="K143" s="11"/>
      <c r="L143" s="9"/>
      <c r="M143" s="14"/>
      <c r="N143" s="12"/>
      <c r="O143" s="12"/>
      <c r="P143" s="13"/>
      <c r="Q143" s="9"/>
      <c r="R143" s="12"/>
      <c r="S143" s="12"/>
      <c r="T143" s="12"/>
      <c r="U143" s="17"/>
    </row>
    <row r="144" spans="1:21" x14ac:dyDescent="0.2">
      <c r="A144" s="9"/>
      <c r="B144" s="14"/>
      <c r="C144" s="10"/>
      <c r="D144" s="9"/>
      <c r="E144" s="9"/>
      <c r="F144" s="9"/>
      <c r="G144" s="11"/>
      <c r="H144" s="11"/>
      <c r="I144" s="61"/>
      <c r="J144" s="9"/>
      <c r="K144" s="11"/>
      <c r="L144" s="9"/>
      <c r="M144" s="14"/>
      <c r="N144" s="12"/>
      <c r="O144" s="12"/>
      <c r="P144" s="13"/>
      <c r="Q144" s="9"/>
      <c r="R144" s="12"/>
      <c r="S144" s="12"/>
      <c r="T144" s="12"/>
      <c r="U144" s="17"/>
    </row>
    <row r="145" spans="1:21" x14ac:dyDescent="0.2">
      <c r="A145" s="9"/>
      <c r="B145" s="14"/>
      <c r="C145" s="10"/>
      <c r="D145" s="9"/>
      <c r="E145" s="9"/>
      <c r="F145" s="9"/>
      <c r="G145" s="11"/>
      <c r="H145" s="11"/>
      <c r="I145" s="61"/>
      <c r="J145" s="9"/>
      <c r="K145" s="11"/>
      <c r="L145" s="9"/>
      <c r="M145" s="14"/>
      <c r="N145" s="12"/>
      <c r="O145" s="12"/>
      <c r="P145" s="13"/>
      <c r="Q145" s="9"/>
      <c r="R145" s="12"/>
      <c r="S145" s="12"/>
      <c r="T145" s="12"/>
      <c r="U145" s="17"/>
    </row>
    <row r="146" spans="1:21" x14ac:dyDescent="0.2">
      <c r="A146" s="9"/>
      <c r="B146" s="14"/>
      <c r="C146" s="10"/>
      <c r="D146" s="9"/>
      <c r="E146" s="9"/>
      <c r="F146" s="9"/>
      <c r="G146" s="11"/>
      <c r="H146" s="11"/>
      <c r="I146" s="61"/>
      <c r="J146" s="9"/>
      <c r="K146" s="11"/>
      <c r="L146" s="9"/>
      <c r="M146" s="14"/>
      <c r="N146" s="12"/>
      <c r="O146" s="12"/>
      <c r="P146" s="13"/>
      <c r="Q146" s="9"/>
      <c r="R146" s="12"/>
      <c r="S146" s="12"/>
      <c r="T146" s="12"/>
      <c r="U146" s="17"/>
    </row>
    <row r="147" spans="1:21" x14ac:dyDescent="0.2">
      <c r="A147" s="9"/>
      <c r="B147" s="14"/>
      <c r="C147" s="10"/>
      <c r="D147" s="9"/>
      <c r="E147" s="9"/>
      <c r="F147" s="9"/>
      <c r="G147" s="11"/>
      <c r="H147" s="11"/>
      <c r="I147" s="61"/>
      <c r="J147" s="9"/>
      <c r="K147" s="11"/>
      <c r="L147" s="9"/>
      <c r="M147" s="14"/>
      <c r="N147" s="12"/>
      <c r="O147" s="12"/>
      <c r="P147" s="13"/>
      <c r="Q147" s="9"/>
      <c r="R147" s="12"/>
      <c r="S147" s="12"/>
      <c r="T147" s="12"/>
      <c r="U147" s="17"/>
    </row>
    <row r="148" spans="1:21" x14ac:dyDescent="0.2">
      <c r="A148" s="9"/>
      <c r="B148" s="14"/>
      <c r="C148" s="10"/>
      <c r="D148" s="9"/>
      <c r="E148" s="9"/>
      <c r="F148" s="9"/>
      <c r="G148" s="11"/>
      <c r="H148" s="11"/>
      <c r="I148" s="61"/>
      <c r="J148" s="9"/>
      <c r="K148" s="11"/>
      <c r="L148" s="9"/>
      <c r="M148" s="14"/>
      <c r="N148" s="12"/>
      <c r="O148" s="12"/>
      <c r="P148" s="13"/>
      <c r="Q148" s="9"/>
      <c r="R148" s="12"/>
      <c r="S148" s="12"/>
      <c r="T148" s="12"/>
      <c r="U148" s="17"/>
    </row>
    <row r="149" spans="1:21" x14ac:dyDescent="0.2">
      <c r="A149" s="9"/>
      <c r="B149" s="14"/>
      <c r="C149" s="10"/>
      <c r="D149" s="9"/>
      <c r="E149" s="9"/>
      <c r="F149" s="9"/>
      <c r="G149" s="11"/>
      <c r="H149" s="11"/>
      <c r="I149" s="61"/>
      <c r="J149" s="9"/>
      <c r="K149" s="11"/>
      <c r="L149" s="9"/>
      <c r="M149" s="14"/>
      <c r="N149" s="12"/>
      <c r="O149" s="12"/>
      <c r="P149" s="13"/>
      <c r="Q149" s="9"/>
      <c r="R149" s="12"/>
      <c r="S149" s="12"/>
      <c r="T149" s="12"/>
      <c r="U149" s="17"/>
    </row>
    <row r="150" spans="1:21" x14ac:dyDescent="0.2">
      <c r="A150" s="9"/>
      <c r="B150" s="14"/>
      <c r="C150" s="10"/>
      <c r="D150" s="9"/>
      <c r="E150" s="9"/>
      <c r="F150" s="9"/>
      <c r="G150" s="11"/>
      <c r="H150" s="11"/>
      <c r="I150" s="61"/>
      <c r="J150" s="9"/>
      <c r="K150" s="11"/>
      <c r="L150" s="9"/>
      <c r="M150" s="14"/>
      <c r="N150" s="12"/>
      <c r="O150" s="12"/>
      <c r="P150" s="13"/>
      <c r="Q150" s="9"/>
      <c r="R150" s="12"/>
      <c r="S150" s="12"/>
      <c r="T150" s="12"/>
      <c r="U150" s="17"/>
    </row>
    <row r="151" spans="1:21" x14ac:dyDescent="0.2">
      <c r="A151" s="9"/>
      <c r="B151" s="14"/>
      <c r="C151" s="10"/>
      <c r="D151" s="9"/>
      <c r="E151" s="9"/>
      <c r="F151" s="9"/>
      <c r="G151" s="11"/>
      <c r="H151" s="11"/>
      <c r="I151" s="61"/>
      <c r="J151" s="9"/>
      <c r="K151" s="11"/>
      <c r="L151" s="9"/>
      <c r="M151" s="14"/>
      <c r="N151" s="12"/>
      <c r="O151" s="12"/>
      <c r="P151" s="13"/>
      <c r="Q151" s="9"/>
      <c r="R151" s="12"/>
      <c r="S151" s="12"/>
      <c r="T151" s="12"/>
      <c r="U151" s="17"/>
    </row>
    <row r="152" spans="1:21" x14ac:dyDescent="0.2">
      <c r="A152" s="9"/>
      <c r="B152" s="14"/>
      <c r="C152" s="10"/>
      <c r="D152" s="9"/>
      <c r="E152" s="9"/>
      <c r="F152" s="9"/>
      <c r="G152" s="11"/>
      <c r="H152" s="11"/>
      <c r="I152" s="61"/>
      <c r="J152" s="9"/>
      <c r="K152" s="11"/>
      <c r="L152" s="9"/>
      <c r="M152" s="14"/>
      <c r="N152" s="12"/>
      <c r="O152" s="12"/>
      <c r="P152" s="13"/>
      <c r="Q152" s="9"/>
      <c r="R152" s="12"/>
      <c r="S152" s="12"/>
      <c r="T152" s="12"/>
      <c r="U152" s="17"/>
    </row>
    <row r="153" spans="1:21" x14ac:dyDescent="0.2">
      <c r="A153" s="9"/>
      <c r="B153" s="14"/>
      <c r="C153" s="10"/>
      <c r="D153" s="9"/>
      <c r="E153" s="9"/>
      <c r="F153" s="9"/>
      <c r="G153" s="11"/>
      <c r="H153" s="11"/>
      <c r="I153" s="61"/>
      <c r="J153" s="9"/>
      <c r="K153" s="11"/>
      <c r="L153" s="9"/>
      <c r="M153" s="14"/>
      <c r="N153" s="12"/>
      <c r="O153" s="12"/>
      <c r="P153" s="13"/>
      <c r="Q153" s="9"/>
      <c r="R153" s="12"/>
      <c r="S153" s="12"/>
      <c r="T153" s="12"/>
      <c r="U153" s="17"/>
    </row>
    <row r="154" spans="1:21" x14ac:dyDescent="0.2">
      <c r="A154" s="9"/>
      <c r="B154" s="14"/>
      <c r="C154" s="10"/>
      <c r="D154" s="9"/>
      <c r="E154" s="9"/>
      <c r="F154" s="9"/>
      <c r="G154" s="11"/>
      <c r="H154" s="11"/>
      <c r="I154" s="61"/>
      <c r="J154" s="9"/>
      <c r="K154" s="11"/>
      <c r="L154" s="9"/>
      <c r="M154" s="14"/>
      <c r="N154" s="12"/>
      <c r="O154" s="12"/>
      <c r="P154" s="13"/>
      <c r="Q154" s="9"/>
      <c r="R154" s="12"/>
      <c r="S154" s="12"/>
      <c r="T154" s="12"/>
      <c r="U154" s="17"/>
    </row>
    <row r="155" spans="1:21" x14ac:dyDescent="0.2">
      <c r="A155" s="9"/>
      <c r="B155" s="14"/>
      <c r="C155" s="10"/>
      <c r="D155" s="9"/>
      <c r="E155" s="9"/>
      <c r="F155" s="9"/>
      <c r="G155" s="11"/>
      <c r="H155" s="11"/>
      <c r="I155" s="61"/>
      <c r="J155" s="9"/>
      <c r="K155" s="11"/>
      <c r="L155" s="9"/>
      <c r="M155" s="14"/>
      <c r="N155" s="12"/>
      <c r="O155" s="12"/>
      <c r="P155" s="13"/>
      <c r="Q155" s="9"/>
      <c r="R155" s="12"/>
      <c r="S155" s="12"/>
      <c r="T155" s="12"/>
      <c r="U155" s="17"/>
    </row>
    <row r="156" spans="1:21" x14ac:dyDescent="0.2">
      <c r="A156" s="9"/>
      <c r="B156" s="14"/>
      <c r="C156" s="10"/>
      <c r="D156" s="9"/>
      <c r="E156" s="9"/>
      <c r="F156" s="9"/>
      <c r="G156" s="11"/>
      <c r="H156" s="11"/>
      <c r="I156" s="61"/>
      <c r="J156" s="9"/>
      <c r="K156" s="11"/>
      <c r="L156" s="9"/>
      <c r="M156" s="14"/>
      <c r="N156" s="12"/>
      <c r="O156" s="12"/>
      <c r="P156" s="13"/>
      <c r="Q156" s="9"/>
      <c r="R156" s="12"/>
      <c r="S156" s="12"/>
      <c r="T156" s="12"/>
      <c r="U156" s="17"/>
    </row>
    <row r="157" spans="1:21" x14ac:dyDescent="0.2">
      <c r="A157" s="9"/>
      <c r="B157" s="14"/>
      <c r="C157" s="10"/>
      <c r="D157" s="9"/>
      <c r="E157" s="9"/>
      <c r="F157" s="9"/>
      <c r="G157" s="11"/>
      <c r="H157" s="11"/>
      <c r="I157" s="61"/>
      <c r="J157" s="9"/>
      <c r="K157" s="11"/>
      <c r="L157" s="9"/>
      <c r="M157" s="14"/>
      <c r="N157" s="12"/>
      <c r="O157" s="12"/>
      <c r="P157" s="13"/>
      <c r="Q157" s="9"/>
      <c r="R157" s="12"/>
      <c r="S157" s="12"/>
      <c r="T157" s="12"/>
      <c r="U157" s="17"/>
    </row>
    <row r="158" spans="1:21" x14ac:dyDescent="0.2">
      <c r="A158" s="9"/>
      <c r="B158" s="14"/>
      <c r="C158" s="10"/>
      <c r="D158" s="9"/>
      <c r="E158" s="9"/>
      <c r="F158" s="9"/>
      <c r="G158" s="11"/>
      <c r="H158" s="11"/>
      <c r="I158" s="61"/>
      <c r="J158" s="9"/>
      <c r="K158" s="11"/>
      <c r="L158" s="9"/>
      <c r="M158" s="14"/>
      <c r="N158" s="12"/>
      <c r="O158" s="12"/>
      <c r="P158" s="13"/>
      <c r="Q158" s="9"/>
      <c r="R158" s="12"/>
      <c r="S158" s="12"/>
      <c r="T158" s="12"/>
      <c r="U158" s="17"/>
    </row>
    <row r="159" spans="1:21" x14ac:dyDescent="0.2">
      <c r="A159" s="9"/>
      <c r="B159" s="14"/>
      <c r="C159" s="10"/>
      <c r="D159" s="9"/>
      <c r="E159" s="9"/>
      <c r="F159" s="9"/>
      <c r="G159" s="11"/>
      <c r="H159" s="11"/>
      <c r="I159" s="61"/>
      <c r="J159" s="9"/>
      <c r="K159" s="11"/>
      <c r="L159" s="9"/>
      <c r="M159" s="14"/>
      <c r="N159" s="12"/>
      <c r="O159" s="12"/>
      <c r="P159" s="13"/>
      <c r="Q159" s="9"/>
      <c r="R159" s="12"/>
      <c r="S159" s="12"/>
      <c r="T159" s="12"/>
      <c r="U159" s="17"/>
    </row>
    <row r="160" spans="1:21" x14ac:dyDescent="0.2">
      <c r="A160" s="9"/>
      <c r="B160" s="14"/>
      <c r="C160" s="10"/>
      <c r="D160" s="9"/>
      <c r="E160" s="9"/>
      <c r="F160" s="9"/>
      <c r="G160" s="11"/>
      <c r="H160" s="11"/>
      <c r="I160" s="61"/>
      <c r="J160" s="9"/>
      <c r="K160" s="11"/>
      <c r="L160" s="9"/>
      <c r="M160" s="14"/>
      <c r="N160" s="12"/>
      <c r="O160" s="12"/>
      <c r="P160" s="13"/>
      <c r="Q160" s="9"/>
      <c r="R160" s="12"/>
      <c r="S160" s="12"/>
      <c r="T160" s="12"/>
      <c r="U160" s="17"/>
    </row>
    <row r="161" spans="1:21" x14ac:dyDescent="0.2">
      <c r="A161" s="9"/>
      <c r="B161" s="14"/>
      <c r="C161" s="10"/>
      <c r="D161" s="9"/>
      <c r="E161" s="9"/>
      <c r="F161" s="9"/>
      <c r="G161" s="11"/>
      <c r="H161" s="11"/>
      <c r="I161" s="61"/>
      <c r="J161" s="9"/>
      <c r="K161" s="11"/>
      <c r="L161" s="9"/>
      <c r="M161" s="14"/>
      <c r="N161" s="12"/>
      <c r="O161" s="12"/>
      <c r="P161" s="13"/>
      <c r="Q161" s="9"/>
      <c r="R161" s="12"/>
      <c r="S161" s="12"/>
      <c r="T161" s="12"/>
      <c r="U161" s="17"/>
    </row>
    <row r="162" spans="1:21" x14ac:dyDescent="0.2">
      <c r="A162" s="9"/>
      <c r="B162" s="14"/>
      <c r="C162" s="10"/>
      <c r="D162" s="9"/>
      <c r="E162" s="9"/>
      <c r="F162" s="9"/>
      <c r="G162" s="11"/>
      <c r="H162" s="11"/>
      <c r="I162" s="61"/>
      <c r="J162" s="9"/>
      <c r="K162" s="11"/>
      <c r="L162" s="9"/>
      <c r="M162" s="14"/>
      <c r="N162" s="12"/>
      <c r="O162" s="12"/>
      <c r="P162" s="13"/>
      <c r="Q162" s="9"/>
      <c r="R162" s="12"/>
      <c r="S162" s="12"/>
      <c r="T162" s="12"/>
      <c r="U162" s="17"/>
    </row>
    <row r="163" spans="1:21" x14ac:dyDescent="0.2">
      <c r="A163" s="9"/>
      <c r="B163" s="14"/>
      <c r="C163" s="10"/>
      <c r="D163" s="9"/>
      <c r="E163" s="9"/>
      <c r="F163" s="9"/>
      <c r="G163" s="11"/>
      <c r="H163" s="11"/>
      <c r="I163" s="61"/>
      <c r="J163" s="9"/>
      <c r="K163" s="11"/>
      <c r="L163" s="9"/>
      <c r="M163" s="14"/>
      <c r="N163" s="12"/>
      <c r="O163" s="12"/>
      <c r="P163" s="13"/>
      <c r="Q163" s="9"/>
      <c r="R163" s="12"/>
      <c r="S163" s="12"/>
      <c r="T163" s="12"/>
      <c r="U163" s="17"/>
    </row>
    <row r="164" spans="1:21" x14ac:dyDescent="0.2">
      <c r="A164" s="9"/>
      <c r="B164" s="14"/>
      <c r="C164" s="10"/>
      <c r="D164" s="9"/>
      <c r="E164" s="9"/>
      <c r="F164" s="9"/>
      <c r="G164" s="11"/>
      <c r="H164" s="11"/>
      <c r="I164" s="61"/>
      <c r="J164" s="9"/>
      <c r="K164" s="11"/>
      <c r="L164" s="9"/>
      <c r="M164" s="14"/>
      <c r="N164" s="12"/>
      <c r="O164" s="12"/>
      <c r="P164" s="13"/>
      <c r="Q164" s="9"/>
      <c r="R164" s="12"/>
      <c r="S164" s="12"/>
      <c r="T164" s="12"/>
      <c r="U164" s="17"/>
    </row>
    <row r="165" spans="1:21" x14ac:dyDescent="0.2">
      <c r="A165" s="9"/>
      <c r="B165" s="14"/>
      <c r="C165" s="10"/>
      <c r="D165" s="9"/>
      <c r="E165" s="9"/>
      <c r="F165" s="9"/>
      <c r="G165" s="11"/>
      <c r="H165" s="11"/>
      <c r="I165" s="61"/>
      <c r="J165" s="9"/>
      <c r="K165" s="11"/>
      <c r="L165" s="9"/>
      <c r="M165" s="14"/>
      <c r="N165" s="12"/>
      <c r="O165" s="12"/>
      <c r="P165" s="13"/>
      <c r="Q165" s="9"/>
      <c r="R165" s="12"/>
      <c r="S165" s="12"/>
      <c r="T165" s="12"/>
      <c r="U165" s="17"/>
    </row>
    <row r="166" spans="1:21" x14ac:dyDescent="0.2">
      <c r="A166" s="9"/>
      <c r="B166" s="14"/>
      <c r="C166" s="10"/>
      <c r="D166" s="9"/>
      <c r="E166" s="9"/>
      <c r="F166" s="9"/>
      <c r="G166" s="11"/>
      <c r="H166" s="11"/>
      <c r="I166" s="61"/>
      <c r="J166" s="9"/>
      <c r="K166" s="11"/>
      <c r="L166" s="9"/>
      <c r="M166" s="14"/>
      <c r="N166" s="12"/>
      <c r="O166" s="12"/>
      <c r="P166" s="13"/>
      <c r="Q166" s="9"/>
      <c r="R166" s="12"/>
      <c r="S166" s="12"/>
      <c r="T166" s="12"/>
      <c r="U166" s="17"/>
    </row>
    <row r="167" spans="1:21" x14ac:dyDescent="0.2">
      <c r="A167" s="9"/>
      <c r="B167" s="14"/>
      <c r="C167" s="10"/>
      <c r="D167" s="9"/>
      <c r="E167" s="9"/>
      <c r="F167" s="9"/>
      <c r="G167" s="11"/>
      <c r="H167" s="11"/>
      <c r="I167" s="61"/>
      <c r="J167" s="9"/>
      <c r="K167" s="11"/>
      <c r="L167" s="9"/>
      <c r="M167" s="14"/>
      <c r="N167" s="12"/>
      <c r="O167" s="12"/>
      <c r="P167" s="13"/>
      <c r="Q167" s="9"/>
      <c r="R167" s="12"/>
      <c r="S167" s="12"/>
      <c r="T167" s="12"/>
      <c r="U167" s="17"/>
    </row>
    <row r="168" spans="1:21" x14ac:dyDescent="0.2">
      <c r="A168" s="9"/>
      <c r="B168" s="14"/>
      <c r="C168" s="10"/>
      <c r="D168" s="9"/>
      <c r="E168" s="9"/>
      <c r="F168" s="9"/>
      <c r="G168" s="11"/>
      <c r="H168" s="11"/>
      <c r="I168" s="61"/>
      <c r="J168" s="9"/>
      <c r="K168" s="11"/>
      <c r="L168" s="9"/>
      <c r="M168" s="14"/>
      <c r="N168" s="12"/>
      <c r="O168" s="12"/>
      <c r="P168" s="13"/>
      <c r="Q168" s="9"/>
      <c r="R168" s="12"/>
      <c r="S168" s="12"/>
      <c r="T168" s="12"/>
      <c r="U168" s="17"/>
    </row>
    <row r="169" spans="1:21" x14ac:dyDescent="0.2">
      <c r="A169" s="9"/>
      <c r="B169" s="14"/>
      <c r="C169" s="10"/>
      <c r="D169" s="9"/>
      <c r="E169" s="9"/>
      <c r="F169" s="9"/>
      <c r="G169" s="11"/>
      <c r="H169" s="11"/>
      <c r="I169" s="61"/>
      <c r="J169" s="9"/>
      <c r="K169" s="11"/>
      <c r="L169" s="9"/>
      <c r="M169" s="14"/>
      <c r="N169" s="12"/>
      <c r="O169" s="12"/>
      <c r="P169" s="13"/>
      <c r="Q169" s="9"/>
      <c r="R169" s="12"/>
      <c r="S169" s="12"/>
      <c r="T169" s="12"/>
      <c r="U169" s="17"/>
    </row>
    <row r="170" spans="1:21" x14ac:dyDescent="0.2">
      <c r="A170" s="9"/>
      <c r="B170" s="14"/>
      <c r="C170" s="10"/>
      <c r="D170" s="9"/>
      <c r="E170" s="9"/>
      <c r="F170" s="9"/>
      <c r="G170" s="11"/>
      <c r="H170" s="11"/>
      <c r="I170" s="61"/>
      <c r="J170" s="9"/>
      <c r="K170" s="11"/>
      <c r="L170" s="9"/>
      <c r="M170" s="14"/>
      <c r="N170" s="12"/>
      <c r="O170" s="12"/>
      <c r="P170" s="13"/>
      <c r="Q170" s="9"/>
      <c r="R170" s="12"/>
      <c r="S170" s="12"/>
      <c r="T170" s="12"/>
      <c r="U170" s="17"/>
    </row>
    <row r="171" spans="1:21" x14ac:dyDescent="0.2">
      <c r="A171" s="9"/>
      <c r="B171" s="14"/>
      <c r="C171" s="10"/>
      <c r="D171" s="9"/>
      <c r="E171" s="9"/>
      <c r="F171" s="9"/>
      <c r="G171" s="11"/>
      <c r="H171" s="11"/>
      <c r="I171" s="61"/>
      <c r="J171" s="9"/>
      <c r="K171" s="11"/>
      <c r="L171" s="9"/>
      <c r="M171" s="14"/>
      <c r="N171" s="12"/>
      <c r="O171" s="12"/>
      <c r="P171" s="13"/>
      <c r="Q171" s="9"/>
      <c r="R171" s="12"/>
      <c r="S171" s="12"/>
      <c r="T171" s="12"/>
      <c r="U171" s="17"/>
    </row>
    <row r="172" spans="1:21" x14ac:dyDescent="0.2">
      <c r="A172" s="9"/>
      <c r="B172" s="14"/>
      <c r="C172" s="10"/>
      <c r="D172" s="9"/>
      <c r="E172" s="9"/>
      <c r="F172" s="9"/>
      <c r="G172" s="11"/>
      <c r="H172" s="11"/>
      <c r="I172" s="61"/>
      <c r="J172" s="9"/>
      <c r="K172" s="11"/>
      <c r="L172" s="9"/>
      <c r="M172" s="14"/>
      <c r="N172" s="12"/>
      <c r="O172" s="12"/>
      <c r="P172" s="13"/>
      <c r="Q172" s="9"/>
      <c r="R172" s="12"/>
      <c r="S172" s="12"/>
      <c r="T172" s="12"/>
      <c r="U172" s="17"/>
    </row>
    <row r="173" spans="1:21" x14ac:dyDescent="0.2">
      <c r="A173" s="9"/>
      <c r="B173" s="14"/>
      <c r="C173" s="10"/>
      <c r="D173" s="9"/>
      <c r="E173" s="9"/>
      <c r="F173" s="9"/>
      <c r="G173" s="11"/>
      <c r="H173" s="11"/>
      <c r="I173" s="61"/>
      <c r="J173" s="9"/>
      <c r="K173" s="11"/>
      <c r="L173" s="9"/>
      <c r="M173" s="14"/>
      <c r="N173" s="12"/>
      <c r="O173" s="12"/>
      <c r="P173" s="13"/>
      <c r="Q173" s="9"/>
      <c r="R173" s="12"/>
      <c r="S173" s="12"/>
      <c r="T173" s="12"/>
      <c r="U173" s="17"/>
    </row>
    <row r="174" spans="1:21" x14ac:dyDescent="0.2">
      <c r="A174" s="9"/>
      <c r="B174" s="14"/>
      <c r="C174" s="10"/>
      <c r="D174" s="9"/>
      <c r="E174" s="9"/>
      <c r="F174" s="9"/>
      <c r="G174" s="11"/>
      <c r="H174" s="11"/>
      <c r="I174" s="61"/>
      <c r="J174" s="9"/>
      <c r="K174" s="11"/>
      <c r="L174" s="9"/>
      <c r="M174" s="14"/>
      <c r="N174" s="12"/>
      <c r="O174" s="12"/>
      <c r="P174" s="13"/>
      <c r="Q174" s="9"/>
      <c r="R174" s="12"/>
      <c r="S174" s="12"/>
      <c r="T174" s="12"/>
      <c r="U174" s="17"/>
    </row>
    <row r="175" spans="1:21" x14ac:dyDescent="0.2">
      <c r="A175" s="9"/>
      <c r="B175" s="14"/>
      <c r="C175" s="10"/>
      <c r="D175" s="9"/>
      <c r="E175" s="9"/>
      <c r="F175" s="9"/>
      <c r="G175" s="11"/>
      <c r="H175" s="11"/>
      <c r="I175" s="61"/>
      <c r="J175" s="9"/>
      <c r="K175" s="11"/>
      <c r="L175" s="9"/>
      <c r="M175" s="14"/>
      <c r="N175" s="12"/>
      <c r="O175" s="12"/>
      <c r="P175" s="13"/>
      <c r="Q175" s="9"/>
      <c r="R175" s="12"/>
      <c r="S175" s="12"/>
      <c r="T175" s="12"/>
      <c r="U175" s="17"/>
    </row>
    <row r="176" spans="1:21" x14ac:dyDescent="0.2">
      <c r="A176" s="9"/>
      <c r="B176" s="14"/>
      <c r="C176" s="10"/>
      <c r="D176" s="9"/>
      <c r="E176" s="9"/>
      <c r="F176" s="9"/>
      <c r="G176" s="11"/>
      <c r="H176" s="11"/>
      <c r="I176" s="61"/>
      <c r="J176" s="9"/>
      <c r="K176" s="11"/>
      <c r="L176" s="9"/>
      <c r="M176" s="14"/>
      <c r="N176" s="12"/>
      <c r="O176" s="12"/>
      <c r="P176" s="13"/>
      <c r="Q176" s="9"/>
      <c r="R176" s="12"/>
      <c r="S176" s="12"/>
      <c r="T176" s="12"/>
      <c r="U176" s="17"/>
    </row>
    <row r="177" spans="1:21" x14ac:dyDescent="0.2">
      <c r="A177" s="9"/>
      <c r="B177" s="14"/>
      <c r="C177" s="10"/>
      <c r="D177" s="9"/>
      <c r="E177" s="9"/>
      <c r="F177" s="9"/>
      <c r="G177" s="11"/>
      <c r="H177" s="11"/>
      <c r="I177" s="61"/>
      <c r="J177" s="9"/>
      <c r="K177" s="11"/>
      <c r="L177" s="9"/>
      <c r="M177" s="14"/>
      <c r="N177" s="12"/>
      <c r="O177" s="12"/>
      <c r="P177" s="13"/>
      <c r="Q177" s="9"/>
      <c r="R177" s="12"/>
      <c r="S177" s="12"/>
      <c r="T177" s="12"/>
      <c r="U177" s="17"/>
    </row>
    <row r="178" spans="1:21" x14ac:dyDescent="0.2">
      <c r="A178" s="9"/>
      <c r="B178" s="14"/>
      <c r="C178" s="10"/>
      <c r="D178" s="9"/>
      <c r="E178" s="9"/>
      <c r="F178" s="9"/>
      <c r="G178" s="11"/>
      <c r="H178" s="11"/>
      <c r="I178" s="61"/>
      <c r="J178" s="9"/>
      <c r="K178" s="11"/>
      <c r="L178" s="9"/>
      <c r="M178" s="14"/>
      <c r="N178" s="12"/>
      <c r="O178" s="12"/>
      <c r="P178" s="13"/>
      <c r="Q178" s="9"/>
      <c r="R178" s="12"/>
      <c r="S178" s="12"/>
      <c r="T178" s="12"/>
      <c r="U178" s="17"/>
    </row>
    <row r="179" spans="1:21" x14ac:dyDescent="0.2">
      <c r="A179" s="9"/>
      <c r="B179" s="14"/>
      <c r="C179" s="10"/>
      <c r="D179" s="9"/>
      <c r="E179" s="9"/>
      <c r="F179" s="9"/>
      <c r="G179" s="11"/>
      <c r="H179" s="11"/>
      <c r="I179" s="61"/>
      <c r="J179" s="9"/>
      <c r="K179" s="11"/>
      <c r="L179" s="9"/>
      <c r="M179" s="14"/>
      <c r="N179" s="12"/>
      <c r="O179" s="12"/>
      <c r="P179" s="13"/>
      <c r="Q179" s="9"/>
      <c r="R179" s="12"/>
      <c r="S179" s="12"/>
      <c r="T179" s="12"/>
      <c r="U179" s="17"/>
    </row>
    <row r="180" spans="1:21" x14ac:dyDescent="0.2">
      <c r="A180" s="9"/>
      <c r="B180" s="14"/>
      <c r="C180" s="10"/>
      <c r="D180" s="9"/>
      <c r="E180" s="9"/>
      <c r="F180" s="9"/>
      <c r="G180" s="11"/>
      <c r="H180" s="11"/>
      <c r="I180" s="61"/>
      <c r="J180" s="9"/>
      <c r="K180" s="11"/>
      <c r="L180" s="9"/>
      <c r="M180" s="14"/>
      <c r="N180" s="12"/>
      <c r="O180" s="12"/>
      <c r="P180" s="13"/>
      <c r="Q180" s="9"/>
      <c r="R180" s="12"/>
      <c r="S180" s="12"/>
      <c r="T180" s="12"/>
      <c r="U180" s="17"/>
    </row>
    <row r="181" spans="1:21" x14ac:dyDescent="0.2">
      <c r="A181" s="9"/>
      <c r="B181" s="14"/>
      <c r="C181" s="10"/>
      <c r="D181" s="9"/>
      <c r="E181" s="9"/>
      <c r="F181" s="9"/>
      <c r="G181" s="11"/>
      <c r="H181" s="11"/>
      <c r="I181" s="61"/>
      <c r="J181" s="9"/>
      <c r="K181" s="11"/>
      <c r="L181" s="9"/>
      <c r="M181" s="14"/>
      <c r="N181" s="12"/>
      <c r="O181" s="12"/>
      <c r="P181" s="13"/>
      <c r="Q181" s="9"/>
      <c r="R181" s="12"/>
      <c r="S181" s="12"/>
      <c r="T181" s="12"/>
      <c r="U181" s="17"/>
    </row>
    <row r="182" spans="1:21" x14ac:dyDescent="0.2">
      <c r="A182" s="9"/>
      <c r="B182" s="14"/>
      <c r="C182" s="10"/>
      <c r="D182" s="9"/>
      <c r="E182" s="9"/>
      <c r="F182" s="9"/>
      <c r="G182" s="11"/>
      <c r="H182" s="11"/>
      <c r="I182" s="61"/>
      <c r="J182" s="9"/>
      <c r="K182" s="11"/>
      <c r="L182" s="9"/>
      <c r="M182" s="14"/>
      <c r="N182" s="12"/>
      <c r="O182" s="12"/>
      <c r="P182" s="13"/>
      <c r="Q182" s="9"/>
      <c r="R182" s="12"/>
      <c r="S182" s="12"/>
      <c r="T182" s="12"/>
      <c r="U182" s="17"/>
    </row>
    <row r="183" spans="1:21" x14ac:dyDescent="0.2">
      <c r="A183" s="9"/>
      <c r="B183" s="14"/>
      <c r="C183" s="10"/>
      <c r="D183" s="9"/>
      <c r="E183" s="9"/>
      <c r="F183" s="9"/>
      <c r="G183" s="11"/>
      <c r="H183" s="11"/>
      <c r="I183" s="61"/>
      <c r="J183" s="9"/>
      <c r="K183" s="11"/>
      <c r="L183" s="9"/>
      <c r="M183" s="14"/>
      <c r="N183" s="12"/>
      <c r="O183" s="12"/>
      <c r="P183" s="13"/>
      <c r="Q183" s="9"/>
      <c r="R183" s="12"/>
      <c r="S183" s="12"/>
      <c r="T183" s="12"/>
      <c r="U183" s="17"/>
    </row>
    <row r="184" spans="1:21" x14ac:dyDescent="0.2">
      <c r="A184" s="9"/>
      <c r="B184" s="14"/>
      <c r="C184" s="10"/>
      <c r="D184" s="9"/>
      <c r="E184" s="9"/>
      <c r="F184" s="9"/>
      <c r="G184" s="11"/>
      <c r="H184" s="11"/>
      <c r="I184" s="61"/>
      <c r="J184" s="9"/>
      <c r="K184" s="11"/>
      <c r="L184" s="9"/>
      <c r="M184" s="14"/>
      <c r="N184" s="12"/>
      <c r="O184" s="12"/>
      <c r="P184" s="13"/>
      <c r="Q184" s="9"/>
      <c r="R184" s="12"/>
      <c r="S184" s="12"/>
      <c r="T184" s="12"/>
      <c r="U184" s="17"/>
    </row>
    <row r="185" spans="1:21" x14ac:dyDescent="0.2">
      <c r="A185" s="9"/>
      <c r="B185" s="14"/>
      <c r="C185" s="10"/>
      <c r="D185" s="9"/>
      <c r="E185" s="9"/>
      <c r="F185" s="9"/>
      <c r="G185" s="11"/>
      <c r="H185" s="11"/>
      <c r="I185" s="61"/>
      <c r="J185" s="9"/>
      <c r="K185" s="11"/>
      <c r="L185" s="9"/>
      <c r="M185" s="14"/>
      <c r="N185" s="12"/>
      <c r="O185" s="12"/>
      <c r="P185" s="13"/>
      <c r="Q185" s="9"/>
      <c r="R185" s="12"/>
      <c r="S185" s="12"/>
      <c r="T185" s="12"/>
      <c r="U185" s="17"/>
    </row>
    <row r="186" spans="1:21" x14ac:dyDescent="0.2">
      <c r="A186" s="9"/>
      <c r="B186" s="14"/>
      <c r="C186" s="10"/>
      <c r="D186" s="9"/>
      <c r="E186" s="9"/>
      <c r="F186" s="9"/>
      <c r="G186" s="11"/>
      <c r="H186" s="11"/>
      <c r="I186" s="61"/>
      <c r="J186" s="9"/>
      <c r="K186" s="11"/>
      <c r="L186" s="9"/>
      <c r="M186" s="14"/>
      <c r="N186" s="12"/>
      <c r="O186" s="12"/>
      <c r="P186" s="13"/>
      <c r="Q186" s="9"/>
      <c r="R186" s="12"/>
      <c r="S186" s="12"/>
      <c r="T186" s="12"/>
      <c r="U186" s="17"/>
    </row>
    <row r="187" spans="1:21" x14ac:dyDescent="0.2">
      <c r="A187" s="9"/>
      <c r="B187" s="14"/>
      <c r="C187" s="10"/>
      <c r="D187" s="9"/>
      <c r="E187" s="9"/>
      <c r="F187" s="9"/>
      <c r="G187" s="11"/>
      <c r="H187" s="11"/>
      <c r="I187" s="61"/>
      <c r="J187" s="9"/>
      <c r="K187" s="11"/>
      <c r="L187" s="9"/>
      <c r="M187" s="14"/>
      <c r="N187" s="12"/>
      <c r="O187" s="12"/>
      <c r="P187" s="13"/>
      <c r="Q187" s="9"/>
      <c r="R187" s="12"/>
      <c r="S187" s="12"/>
      <c r="T187" s="12"/>
      <c r="U187" s="17"/>
    </row>
    <row r="188" spans="1:21" x14ac:dyDescent="0.2">
      <c r="A188" s="9"/>
      <c r="B188" s="14"/>
      <c r="C188" s="10"/>
      <c r="D188" s="9"/>
      <c r="E188" s="9"/>
      <c r="F188" s="9"/>
      <c r="G188" s="11"/>
      <c r="H188" s="11"/>
      <c r="I188" s="61"/>
      <c r="J188" s="9"/>
      <c r="K188" s="11"/>
      <c r="L188" s="9"/>
      <c r="M188" s="14"/>
      <c r="N188" s="12"/>
      <c r="O188" s="12"/>
      <c r="P188" s="13"/>
      <c r="Q188" s="9"/>
      <c r="R188" s="12"/>
      <c r="S188" s="12"/>
      <c r="T188" s="12"/>
      <c r="U188" s="17"/>
    </row>
    <row r="189" spans="1:21" x14ac:dyDescent="0.2">
      <c r="A189" s="9"/>
      <c r="B189" s="14"/>
      <c r="C189" s="10"/>
      <c r="D189" s="9"/>
      <c r="E189" s="9"/>
      <c r="F189" s="9"/>
      <c r="G189" s="11"/>
      <c r="H189" s="11"/>
      <c r="I189" s="61"/>
      <c r="J189" s="9"/>
      <c r="K189" s="11"/>
      <c r="L189" s="9"/>
      <c r="M189" s="14"/>
      <c r="N189" s="12"/>
      <c r="O189" s="12"/>
      <c r="P189" s="13"/>
      <c r="Q189" s="9"/>
      <c r="R189" s="12"/>
      <c r="S189" s="12"/>
      <c r="T189" s="12"/>
      <c r="U189" s="17"/>
    </row>
    <row r="190" spans="1:21" x14ac:dyDescent="0.2">
      <c r="A190" s="9"/>
      <c r="B190" s="14"/>
      <c r="C190" s="10"/>
      <c r="D190" s="9"/>
      <c r="E190" s="9"/>
      <c r="F190" s="9"/>
      <c r="G190" s="11"/>
      <c r="H190" s="11"/>
      <c r="I190" s="61"/>
      <c r="J190" s="9"/>
      <c r="K190" s="11"/>
      <c r="L190" s="9"/>
      <c r="M190" s="14"/>
      <c r="N190" s="12"/>
      <c r="O190" s="12"/>
      <c r="P190" s="13"/>
      <c r="Q190" s="9"/>
      <c r="R190" s="12"/>
      <c r="S190" s="12"/>
      <c r="T190" s="12"/>
      <c r="U190" s="17"/>
    </row>
    <row r="191" spans="1:21" x14ac:dyDescent="0.2">
      <c r="A191" s="9"/>
      <c r="B191" s="14"/>
      <c r="C191" s="10"/>
      <c r="D191" s="9"/>
      <c r="E191" s="9"/>
      <c r="F191" s="9"/>
      <c r="G191" s="11"/>
      <c r="H191" s="11"/>
      <c r="I191" s="61"/>
      <c r="J191" s="9"/>
      <c r="K191" s="11"/>
      <c r="L191" s="9"/>
      <c r="M191" s="14"/>
      <c r="N191" s="12"/>
      <c r="O191" s="12"/>
      <c r="P191" s="13"/>
      <c r="Q191" s="9"/>
      <c r="R191" s="12"/>
      <c r="S191" s="12"/>
      <c r="T191" s="12"/>
      <c r="U191" s="17"/>
    </row>
    <row r="192" spans="1:21" x14ac:dyDescent="0.2">
      <c r="A192" s="9"/>
      <c r="B192" s="14"/>
      <c r="C192" s="10"/>
      <c r="D192" s="9"/>
      <c r="E192" s="9"/>
      <c r="F192" s="9"/>
      <c r="G192" s="11"/>
      <c r="H192" s="11"/>
      <c r="I192" s="61"/>
      <c r="J192" s="9"/>
      <c r="K192" s="11"/>
      <c r="L192" s="9"/>
      <c r="M192" s="14"/>
      <c r="N192" s="12"/>
      <c r="O192" s="12"/>
      <c r="P192" s="13"/>
      <c r="Q192" s="9"/>
      <c r="R192" s="12"/>
      <c r="S192" s="12"/>
      <c r="T192" s="12"/>
      <c r="U192" s="17"/>
    </row>
    <row r="193" spans="1:21" x14ac:dyDescent="0.2">
      <c r="A193" s="9"/>
      <c r="B193" s="14"/>
      <c r="C193" s="10"/>
      <c r="D193" s="9"/>
      <c r="E193" s="9"/>
      <c r="F193" s="9"/>
      <c r="G193" s="11"/>
      <c r="H193" s="11"/>
      <c r="I193" s="61"/>
      <c r="J193" s="9"/>
      <c r="K193" s="11"/>
      <c r="L193" s="9"/>
      <c r="M193" s="14"/>
      <c r="N193" s="12"/>
      <c r="O193" s="12"/>
      <c r="P193" s="13"/>
      <c r="Q193" s="9"/>
      <c r="R193" s="12"/>
      <c r="S193" s="12"/>
      <c r="T193" s="12"/>
      <c r="U193" s="17"/>
    </row>
    <row r="194" spans="1:21" x14ac:dyDescent="0.2">
      <c r="A194" s="9"/>
      <c r="B194" s="14"/>
      <c r="C194" s="10"/>
      <c r="D194" s="9"/>
      <c r="E194" s="9"/>
      <c r="F194" s="9"/>
      <c r="G194" s="11"/>
      <c r="H194" s="11"/>
      <c r="I194" s="61"/>
      <c r="J194" s="9"/>
      <c r="K194" s="11"/>
      <c r="L194" s="9"/>
      <c r="M194" s="14"/>
      <c r="N194" s="12"/>
      <c r="O194" s="12"/>
      <c r="P194" s="13"/>
      <c r="Q194" s="9"/>
      <c r="R194" s="12"/>
      <c r="S194" s="12"/>
      <c r="T194" s="12"/>
      <c r="U194" s="17"/>
    </row>
    <row r="195" spans="1:21" x14ac:dyDescent="0.2">
      <c r="A195" s="9"/>
      <c r="B195" s="14"/>
      <c r="C195" s="10"/>
      <c r="D195" s="9"/>
      <c r="E195" s="9"/>
      <c r="F195" s="9"/>
      <c r="G195" s="11"/>
      <c r="H195" s="11"/>
      <c r="I195" s="61"/>
      <c r="J195" s="9"/>
      <c r="K195" s="11"/>
      <c r="L195" s="9"/>
      <c r="M195" s="14"/>
      <c r="N195" s="12"/>
      <c r="O195" s="12"/>
      <c r="P195" s="13"/>
      <c r="Q195" s="9"/>
      <c r="R195" s="12"/>
      <c r="S195" s="12"/>
      <c r="T195" s="12"/>
      <c r="U195" s="17"/>
    </row>
    <row r="196" spans="1:21" x14ac:dyDescent="0.2">
      <c r="A196" s="9"/>
      <c r="B196" s="14"/>
      <c r="C196" s="10"/>
      <c r="D196" s="9"/>
      <c r="E196" s="9"/>
      <c r="F196" s="9"/>
      <c r="G196" s="11"/>
      <c r="H196" s="11"/>
      <c r="I196" s="61"/>
      <c r="J196" s="9"/>
      <c r="K196" s="11"/>
      <c r="L196" s="9"/>
      <c r="M196" s="14"/>
      <c r="N196" s="12"/>
      <c r="O196" s="12"/>
      <c r="P196" s="13"/>
      <c r="Q196" s="9"/>
      <c r="R196" s="12"/>
      <c r="S196" s="12"/>
      <c r="T196" s="12"/>
      <c r="U196" s="17"/>
    </row>
    <row r="197" spans="1:21" x14ac:dyDescent="0.2">
      <c r="A197" s="9"/>
      <c r="B197" s="14"/>
      <c r="C197" s="10"/>
      <c r="D197" s="9"/>
      <c r="E197" s="9"/>
      <c r="F197" s="9"/>
      <c r="G197" s="11"/>
      <c r="H197" s="11"/>
      <c r="I197" s="61"/>
      <c r="J197" s="9"/>
      <c r="K197" s="11"/>
      <c r="L197" s="9"/>
      <c r="M197" s="14"/>
      <c r="N197" s="12"/>
      <c r="O197" s="12"/>
      <c r="P197" s="13"/>
      <c r="Q197" s="9"/>
      <c r="R197" s="12"/>
      <c r="S197" s="12"/>
      <c r="T197" s="12"/>
      <c r="U197" s="17"/>
    </row>
    <row r="198" spans="1:21" x14ac:dyDescent="0.2">
      <c r="A198" s="9"/>
      <c r="B198" s="14"/>
      <c r="C198" s="10"/>
      <c r="D198" s="9"/>
      <c r="E198" s="9"/>
      <c r="F198" s="9"/>
      <c r="G198" s="11"/>
      <c r="H198" s="11"/>
      <c r="I198" s="61"/>
      <c r="J198" s="9"/>
      <c r="K198" s="11"/>
      <c r="L198" s="9"/>
      <c r="M198" s="14"/>
      <c r="N198" s="12"/>
      <c r="O198" s="12"/>
      <c r="P198" s="13"/>
      <c r="Q198" s="9"/>
      <c r="R198" s="12"/>
      <c r="S198" s="12"/>
      <c r="T198" s="12"/>
      <c r="U198" s="17"/>
    </row>
    <row r="199" spans="1:21" x14ac:dyDescent="0.2">
      <c r="A199" s="9"/>
      <c r="B199" s="14"/>
      <c r="C199" s="10"/>
      <c r="D199" s="9"/>
      <c r="E199" s="9"/>
      <c r="F199" s="9"/>
      <c r="G199" s="11"/>
      <c r="H199" s="11"/>
      <c r="I199" s="61"/>
      <c r="J199" s="9"/>
      <c r="K199" s="11"/>
      <c r="L199" s="9"/>
      <c r="M199" s="14"/>
      <c r="N199" s="12"/>
      <c r="O199" s="12"/>
      <c r="P199" s="13"/>
      <c r="Q199" s="9"/>
      <c r="R199" s="12"/>
      <c r="S199" s="12"/>
      <c r="T199" s="12"/>
      <c r="U199" s="17"/>
    </row>
    <row r="200" spans="1:21" x14ac:dyDescent="0.2">
      <c r="A200" s="9"/>
      <c r="B200" s="14"/>
      <c r="C200" s="10"/>
      <c r="D200" s="9"/>
      <c r="E200" s="9"/>
      <c r="F200" s="9"/>
      <c r="G200" s="11"/>
      <c r="H200" s="11"/>
      <c r="I200" s="61"/>
      <c r="J200" s="9"/>
      <c r="K200" s="11"/>
      <c r="L200" s="9"/>
      <c r="M200" s="14"/>
      <c r="N200" s="12"/>
      <c r="O200" s="12"/>
      <c r="P200" s="13"/>
      <c r="Q200" s="9"/>
      <c r="R200" s="12"/>
      <c r="S200" s="12"/>
      <c r="T200" s="12"/>
      <c r="U200" s="17"/>
    </row>
    <row r="201" spans="1:21" x14ac:dyDescent="0.2">
      <c r="A201" s="9"/>
      <c r="B201" s="14"/>
      <c r="C201" s="10"/>
      <c r="D201" s="9"/>
      <c r="E201" s="9"/>
      <c r="F201" s="9"/>
      <c r="G201" s="11"/>
      <c r="H201" s="11"/>
      <c r="I201" s="61"/>
      <c r="J201" s="9"/>
      <c r="K201" s="11"/>
      <c r="L201" s="9"/>
      <c r="M201" s="14"/>
      <c r="N201" s="12"/>
      <c r="O201" s="12"/>
      <c r="P201" s="13"/>
      <c r="Q201" s="9"/>
      <c r="R201" s="12"/>
      <c r="S201" s="12"/>
      <c r="T201" s="12"/>
      <c r="U201" s="17"/>
    </row>
    <row r="202" spans="1:21" x14ac:dyDescent="0.2">
      <c r="A202" s="9"/>
      <c r="B202" s="14"/>
      <c r="C202" s="10"/>
      <c r="D202" s="9"/>
      <c r="E202" s="9"/>
      <c r="F202" s="9"/>
      <c r="G202" s="11"/>
      <c r="H202" s="11"/>
      <c r="I202" s="61"/>
      <c r="J202" s="9"/>
      <c r="K202" s="11"/>
      <c r="L202" s="9"/>
      <c r="M202" s="14"/>
      <c r="N202" s="12"/>
      <c r="O202" s="12"/>
      <c r="P202" s="13"/>
      <c r="Q202" s="9"/>
      <c r="R202" s="12"/>
      <c r="S202" s="12"/>
      <c r="T202" s="12"/>
      <c r="U202" s="17"/>
    </row>
    <row r="203" spans="1:21" x14ac:dyDescent="0.2">
      <c r="A203" s="9"/>
      <c r="B203" s="14"/>
      <c r="C203" s="10"/>
      <c r="D203" s="9"/>
      <c r="E203" s="9"/>
      <c r="F203" s="9"/>
      <c r="G203" s="11"/>
      <c r="H203" s="11"/>
      <c r="I203" s="61"/>
      <c r="J203" s="9"/>
      <c r="K203" s="11"/>
      <c r="L203" s="9"/>
      <c r="M203" s="14"/>
      <c r="N203" s="12"/>
      <c r="O203" s="12"/>
      <c r="P203" s="13"/>
      <c r="Q203" s="9"/>
      <c r="R203" s="12"/>
      <c r="S203" s="12"/>
      <c r="T203" s="12"/>
      <c r="U203" s="17"/>
    </row>
    <row r="204" spans="1:21" x14ac:dyDescent="0.2">
      <c r="A204" s="9"/>
      <c r="B204" s="14"/>
      <c r="C204" s="10"/>
      <c r="D204" s="9"/>
      <c r="E204" s="9"/>
      <c r="F204" s="9"/>
      <c r="G204" s="11"/>
      <c r="H204" s="11"/>
      <c r="I204" s="61"/>
      <c r="J204" s="9"/>
      <c r="K204" s="11"/>
      <c r="L204" s="9"/>
      <c r="M204" s="14"/>
      <c r="N204" s="12"/>
      <c r="O204" s="12"/>
      <c r="P204" s="13"/>
      <c r="Q204" s="9"/>
      <c r="R204" s="12"/>
      <c r="S204" s="12"/>
      <c r="T204" s="12"/>
      <c r="U204" s="17"/>
    </row>
    <row r="205" spans="1:21" x14ac:dyDescent="0.2">
      <c r="A205" s="9"/>
      <c r="B205" s="14"/>
      <c r="C205" s="10"/>
      <c r="D205" s="9"/>
      <c r="E205" s="9"/>
      <c r="F205" s="9"/>
      <c r="G205" s="11"/>
      <c r="H205" s="11"/>
      <c r="I205" s="61"/>
      <c r="J205" s="9"/>
      <c r="K205" s="11"/>
      <c r="L205" s="9"/>
      <c r="M205" s="14"/>
      <c r="N205" s="12"/>
      <c r="O205" s="12"/>
      <c r="P205" s="13"/>
      <c r="Q205" s="9"/>
      <c r="R205" s="12"/>
      <c r="S205" s="12"/>
      <c r="T205" s="12"/>
      <c r="U205" s="17"/>
    </row>
    <row r="206" spans="1:21" x14ac:dyDescent="0.2">
      <c r="A206" s="9"/>
      <c r="B206" s="14"/>
      <c r="C206" s="10"/>
      <c r="D206" s="9"/>
      <c r="E206" s="9"/>
      <c r="F206" s="9"/>
      <c r="G206" s="11"/>
      <c r="H206" s="11"/>
      <c r="I206" s="61"/>
      <c r="J206" s="9"/>
      <c r="K206" s="11"/>
      <c r="L206" s="9"/>
      <c r="M206" s="14"/>
      <c r="N206" s="12"/>
      <c r="O206" s="12"/>
      <c r="P206" s="13"/>
      <c r="Q206" s="9"/>
      <c r="R206" s="12"/>
      <c r="S206" s="12"/>
      <c r="T206" s="12"/>
      <c r="U206" s="17"/>
    </row>
    <row r="207" spans="1:21" x14ac:dyDescent="0.2">
      <c r="A207" s="9"/>
      <c r="B207" s="14"/>
      <c r="C207" s="10"/>
      <c r="D207" s="9"/>
      <c r="E207" s="9"/>
      <c r="F207" s="9"/>
      <c r="G207" s="11"/>
      <c r="H207" s="11"/>
      <c r="I207" s="61"/>
      <c r="J207" s="9"/>
      <c r="K207" s="11"/>
      <c r="L207" s="9"/>
      <c r="M207" s="14"/>
      <c r="N207" s="12"/>
      <c r="O207" s="12"/>
      <c r="P207" s="13"/>
      <c r="Q207" s="9"/>
      <c r="R207" s="12"/>
      <c r="S207" s="12"/>
      <c r="T207" s="12"/>
      <c r="U207" s="17"/>
    </row>
    <row r="208" spans="1:21" x14ac:dyDescent="0.2">
      <c r="A208" s="9"/>
      <c r="B208" s="14"/>
      <c r="C208" s="10"/>
      <c r="D208" s="9"/>
      <c r="E208" s="9"/>
      <c r="F208" s="9"/>
      <c r="G208" s="11"/>
      <c r="H208" s="11"/>
      <c r="I208" s="61"/>
      <c r="J208" s="9"/>
      <c r="K208" s="11"/>
      <c r="L208" s="9"/>
      <c r="M208" s="14"/>
      <c r="N208" s="12"/>
      <c r="O208" s="12"/>
      <c r="P208" s="13"/>
      <c r="Q208" s="9"/>
      <c r="R208" s="12"/>
      <c r="S208" s="12"/>
      <c r="T208" s="12"/>
      <c r="U208" s="17"/>
    </row>
    <row r="209" spans="1:21" x14ac:dyDescent="0.2">
      <c r="A209" s="9"/>
      <c r="B209" s="14"/>
      <c r="C209" s="10"/>
      <c r="D209" s="9"/>
      <c r="E209" s="9"/>
      <c r="F209" s="9"/>
      <c r="G209" s="11"/>
      <c r="H209" s="11"/>
      <c r="I209" s="61"/>
      <c r="J209" s="9"/>
      <c r="K209" s="11"/>
      <c r="L209" s="9"/>
      <c r="M209" s="14"/>
      <c r="N209" s="12"/>
      <c r="O209" s="12"/>
      <c r="P209" s="13"/>
      <c r="Q209" s="9"/>
      <c r="R209" s="12"/>
      <c r="S209" s="12"/>
      <c r="T209" s="12"/>
      <c r="U209" s="17"/>
    </row>
    <row r="210" spans="1:21" x14ac:dyDescent="0.2">
      <c r="A210" s="9"/>
      <c r="B210" s="14"/>
      <c r="C210" s="10"/>
      <c r="D210" s="9"/>
      <c r="E210" s="9"/>
      <c r="F210" s="9"/>
      <c r="G210" s="11"/>
      <c r="H210" s="11"/>
      <c r="I210" s="61"/>
      <c r="J210" s="9"/>
      <c r="K210" s="11"/>
      <c r="L210" s="9"/>
      <c r="M210" s="14"/>
      <c r="N210" s="12"/>
      <c r="O210" s="12"/>
      <c r="P210" s="13"/>
      <c r="Q210" s="9"/>
      <c r="R210" s="12"/>
      <c r="S210" s="12"/>
      <c r="T210" s="12"/>
      <c r="U210" s="17"/>
    </row>
    <row r="211" spans="1:21" x14ac:dyDescent="0.2">
      <c r="A211" s="9"/>
      <c r="B211" s="14"/>
      <c r="C211" s="10"/>
      <c r="D211" s="9"/>
      <c r="E211" s="9"/>
      <c r="F211" s="9"/>
      <c r="G211" s="11"/>
      <c r="H211" s="11"/>
      <c r="I211" s="61"/>
      <c r="J211" s="9"/>
      <c r="K211" s="11"/>
      <c r="L211" s="9"/>
      <c r="M211" s="14"/>
      <c r="N211" s="12"/>
      <c r="O211" s="12"/>
      <c r="P211" s="13"/>
      <c r="Q211" s="9"/>
      <c r="R211" s="12"/>
      <c r="S211" s="12"/>
      <c r="T211" s="12"/>
      <c r="U211" s="17"/>
    </row>
    <row r="212" spans="1:21" x14ac:dyDescent="0.2">
      <c r="A212" s="9"/>
      <c r="B212" s="14"/>
      <c r="C212" s="10"/>
      <c r="D212" s="9"/>
      <c r="E212" s="9"/>
      <c r="F212" s="9"/>
      <c r="G212" s="11"/>
      <c r="H212" s="11"/>
      <c r="I212" s="61"/>
      <c r="J212" s="9"/>
      <c r="K212" s="11"/>
      <c r="L212" s="9"/>
      <c r="M212" s="14"/>
      <c r="N212" s="12"/>
      <c r="O212" s="12"/>
      <c r="P212" s="13"/>
      <c r="Q212" s="9"/>
      <c r="R212" s="12"/>
      <c r="S212" s="12"/>
      <c r="T212" s="12"/>
      <c r="U212" s="17"/>
    </row>
    <row r="213" spans="1:21" x14ac:dyDescent="0.2">
      <c r="A213" s="9"/>
      <c r="B213" s="14"/>
      <c r="C213" s="10"/>
      <c r="D213" s="9"/>
      <c r="E213" s="9"/>
      <c r="F213" s="9"/>
      <c r="G213" s="11"/>
      <c r="H213" s="11"/>
      <c r="I213" s="61"/>
      <c r="J213" s="9"/>
      <c r="K213" s="11"/>
      <c r="L213" s="9"/>
      <c r="M213" s="14"/>
      <c r="N213" s="12"/>
      <c r="O213" s="12"/>
      <c r="P213" s="13"/>
      <c r="Q213" s="9"/>
      <c r="R213" s="12"/>
      <c r="S213" s="12"/>
      <c r="T213" s="12"/>
      <c r="U213" s="17"/>
    </row>
    <row r="214" spans="1:21" x14ac:dyDescent="0.2">
      <c r="A214" s="9"/>
      <c r="B214" s="14"/>
      <c r="C214" s="10"/>
      <c r="D214" s="9"/>
      <c r="E214" s="9"/>
      <c r="F214" s="9"/>
      <c r="G214" s="11"/>
      <c r="H214" s="11"/>
      <c r="I214" s="61"/>
      <c r="J214" s="9"/>
      <c r="K214" s="11"/>
      <c r="L214" s="9"/>
      <c r="M214" s="14"/>
      <c r="N214" s="12"/>
      <c r="O214" s="12"/>
      <c r="P214" s="13"/>
      <c r="Q214" s="9"/>
      <c r="R214" s="12"/>
      <c r="S214" s="12"/>
      <c r="T214" s="12"/>
      <c r="U214" s="17"/>
    </row>
    <row r="215" spans="1:21" x14ac:dyDescent="0.2">
      <c r="A215" s="9"/>
      <c r="B215" s="14"/>
      <c r="C215" s="10"/>
      <c r="D215" s="9"/>
      <c r="E215" s="9"/>
      <c r="F215" s="9"/>
      <c r="G215" s="11"/>
      <c r="H215" s="11"/>
      <c r="I215" s="61"/>
      <c r="J215" s="9"/>
      <c r="K215" s="11"/>
      <c r="L215" s="9"/>
      <c r="M215" s="14"/>
      <c r="N215" s="12"/>
      <c r="O215" s="12"/>
      <c r="P215" s="13"/>
      <c r="Q215" s="9"/>
      <c r="R215" s="12"/>
      <c r="S215" s="12"/>
      <c r="T215" s="12"/>
      <c r="U215" s="17"/>
    </row>
    <row r="216" spans="1:21" x14ac:dyDescent="0.2">
      <c r="A216" s="9"/>
      <c r="B216" s="14"/>
      <c r="C216" s="10"/>
      <c r="D216" s="9"/>
      <c r="E216" s="9"/>
      <c r="F216" s="9"/>
      <c r="G216" s="11"/>
      <c r="H216" s="11"/>
      <c r="I216" s="61"/>
      <c r="J216" s="9"/>
      <c r="K216" s="11"/>
      <c r="L216" s="9"/>
      <c r="M216" s="14"/>
      <c r="N216" s="12"/>
      <c r="O216" s="12"/>
      <c r="P216" s="13"/>
      <c r="Q216" s="9"/>
      <c r="R216" s="12"/>
      <c r="S216" s="12"/>
      <c r="T216" s="12"/>
      <c r="U216" s="17"/>
    </row>
    <row r="217" spans="1:21" x14ac:dyDescent="0.2">
      <c r="A217" s="9"/>
      <c r="B217" s="14"/>
      <c r="C217" s="10"/>
      <c r="D217" s="9"/>
      <c r="E217" s="9"/>
      <c r="F217" s="9"/>
      <c r="G217" s="11"/>
      <c r="H217" s="11"/>
      <c r="I217" s="61"/>
      <c r="J217" s="9"/>
      <c r="K217" s="11"/>
      <c r="L217" s="9"/>
      <c r="M217" s="14"/>
      <c r="N217" s="12"/>
      <c r="O217" s="12"/>
      <c r="P217" s="13"/>
      <c r="Q217" s="9"/>
      <c r="R217" s="12"/>
      <c r="S217" s="12"/>
      <c r="T217" s="12"/>
      <c r="U217" s="17"/>
    </row>
    <row r="218" spans="1:21" x14ac:dyDescent="0.2">
      <c r="A218" s="9"/>
      <c r="B218" s="14"/>
      <c r="C218" s="10"/>
      <c r="D218" s="9"/>
      <c r="E218" s="9"/>
      <c r="F218" s="9"/>
      <c r="G218" s="11"/>
      <c r="H218" s="11"/>
      <c r="I218" s="61"/>
      <c r="J218" s="9"/>
      <c r="K218" s="11"/>
      <c r="L218" s="9"/>
      <c r="M218" s="14"/>
      <c r="N218" s="12"/>
      <c r="O218" s="12"/>
      <c r="P218" s="13"/>
      <c r="Q218" s="9"/>
      <c r="R218" s="12"/>
      <c r="S218" s="12"/>
      <c r="T218" s="12"/>
      <c r="U218" s="17"/>
    </row>
    <row r="219" spans="1:21" x14ac:dyDescent="0.2">
      <c r="A219" s="9"/>
      <c r="B219" s="14"/>
      <c r="C219" s="10"/>
      <c r="D219" s="9"/>
      <c r="E219" s="9"/>
      <c r="F219" s="9"/>
      <c r="G219" s="11"/>
      <c r="H219" s="11"/>
      <c r="I219" s="61"/>
      <c r="J219" s="9"/>
      <c r="K219" s="11"/>
      <c r="L219" s="9"/>
      <c r="M219" s="14"/>
      <c r="N219" s="12"/>
      <c r="O219" s="12"/>
      <c r="P219" s="13"/>
      <c r="Q219" s="9"/>
      <c r="R219" s="12"/>
      <c r="S219" s="12"/>
      <c r="T219" s="12"/>
      <c r="U219" s="17"/>
    </row>
    <row r="220" spans="1:21" x14ac:dyDescent="0.2">
      <c r="A220" s="9"/>
      <c r="B220" s="14"/>
      <c r="C220" s="10"/>
      <c r="D220" s="9"/>
      <c r="E220" s="9"/>
      <c r="F220" s="9"/>
      <c r="G220" s="11"/>
      <c r="H220" s="11"/>
      <c r="I220" s="61"/>
      <c r="J220" s="9"/>
      <c r="K220" s="11"/>
      <c r="L220" s="9"/>
      <c r="M220" s="14"/>
      <c r="N220" s="12"/>
      <c r="O220" s="12"/>
      <c r="P220" s="13"/>
      <c r="Q220" s="9"/>
      <c r="R220" s="12"/>
      <c r="S220" s="12"/>
      <c r="T220" s="12"/>
      <c r="U220" s="17"/>
    </row>
    <row r="221" spans="1:21" x14ac:dyDescent="0.2">
      <c r="A221" s="9"/>
      <c r="B221" s="14"/>
      <c r="C221" s="10"/>
      <c r="D221" s="9"/>
      <c r="E221" s="9"/>
      <c r="F221" s="9"/>
      <c r="G221" s="11"/>
      <c r="H221" s="11"/>
      <c r="I221" s="61"/>
      <c r="J221" s="9"/>
      <c r="K221" s="11"/>
      <c r="L221" s="9"/>
      <c r="M221" s="14"/>
      <c r="N221" s="12"/>
      <c r="O221" s="12"/>
      <c r="P221" s="13"/>
      <c r="Q221" s="9"/>
      <c r="R221" s="12"/>
      <c r="S221" s="12"/>
      <c r="T221" s="12"/>
      <c r="U221" s="17"/>
    </row>
    <row r="222" spans="1:21" x14ac:dyDescent="0.2">
      <c r="A222" s="9"/>
      <c r="B222" s="14"/>
      <c r="C222" s="10"/>
      <c r="D222" s="9"/>
      <c r="E222" s="9"/>
      <c r="F222" s="9"/>
      <c r="G222" s="11"/>
      <c r="H222" s="11"/>
      <c r="I222" s="61"/>
      <c r="J222" s="9"/>
      <c r="K222" s="11"/>
      <c r="L222" s="9"/>
      <c r="M222" s="14"/>
      <c r="N222" s="12"/>
      <c r="O222" s="12"/>
      <c r="P222" s="13"/>
      <c r="Q222" s="9"/>
      <c r="R222" s="12"/>
      <c r="S222" s="12"/>
      <c r="T222" s="12"/>
      <c r="U222" s="17"/>
    </row>
    <row r="223" spans="1:21" x14ac:dyDescent="0.2">
      <c r="A223" s="9"/>
      <c r="B223" s="14"/>
      <c r="C223" s="10"/>
      <c r="D223" s="9"/>
      <c r="E223" s="9"/>
      <c r="F223" s="9"/>
      <c r="G223" s="11"/>
      <c r="H223" s="11"/>
      <c r="I223" s="61"/>
      <c r="J223" s="9"/>
      <c r="K223" s="11"/>
      <c r="L223" s="9"/>
      <c r="M223" s="14"/>
      <c r="N223" s="12"/>
      <c r="O223" s="12"/>
      <c r="P223" s="13"/>
      <c r="Q223" s="9"/>
      <c r="R223" s="12"/>
      <c r="S223" s="12"/>
      <c r="T223" s="12"/>
      <c r="U223" s="17"/>
    </row>
    <row r="224" spans="1:21" x14ac:dyDescent="0.2">
      <c r="A224" s="9"/>
      <c r="B224" s="14"/>
      <c r="C224" s="10"/>
      <c r="D224" s="9"/>
      <c r="E224" s="9"/>
      <c r="F224" s="9"/>
      <c r="G224" s="11"/>
      <c r="H224" s="11"/>
      <c r="I224" s="61"/>
      <c r="J224" s="9"/>
      <c r="K224" s="11"/>
      <c r="L224" s="9"/>
      <c r="M224" s="14"/>
      <c r="N224" s="12"/>
      <c r="O224" s="12"/>
      <c r="P224" s="13"/>
      <c r="Q224" s="9"/>
      <c r="R224" s="12"/>
      <c r="S224" s="12"/>
      <c r="T224" s="12"/>
      <c r="U224" s="17"/>
    </row>
    <row r="225" spans="1:21" x14ac:dyDescent="0.2">
      <c r="A225" s="9"/>
      <c r="B225" s="14"/>
      <c r="C225" s="10"/>
      <c r="D225" s="9"/>
      <c r="E225" s="9"/>
      <c r="F225" s="9"/>
      <c r="G225" s="11"/>
      <c r="H225" s="11"/>
      <c r="I225" s="61"/>
      <c r="J225" s="9"/>
      <c r="K225" s="11"/>
      <c r="L225" s="9"/>
      <c r="M225" s="14"/>
      <c r="N225" s="12"/>
      <c r="O225" s="12"/>
      <c r="P225" s="13"/>
      <c r="Q225" s="9"/>
      <c r="R225" s="12"/>
      <c r="S225" s="12"/>
      <c r="T225" s="12"/>
      <c r="U225" s="17"/>
    </row>
    <row r="226" spans="1:21" x14ac:dyDescent="0.2">
      <c r="A226" s="9"/>
      <c r="B226" s="14"/>
      <c r="C226" s="10"/>
      <c r="D226" s="9"/>
      <c r="E226" s="9"/>
      <c r="F226" s="9"/>
      <c r="G226" s="11"/>
      <c r="H226" s="11"/>
      <c r="I226" s="61"/>
      <c r="J226" s="9"/>
      <c r="K226" s="11"/>
      <c r="L226" s="9"/>
      <c r="M226" s="14"/>
      <c r="N226" s="12"/>
      <c r="O226" s="12"/>
      <c r="P226" s="13"/>
      <c r="Q226" s="9"/>
      <c r="R226" s="12"/>
      <c r="S226" s="12"/>
      <c r="T226" s="12"/>
      <c r="U226" s="17"/>
    </row>
    <row r="227" spans="1:21" x14ac:dyDescent="0.2">
      <c r="A227" s="9"/>
      <c r="B227" s="14"/>
      <c r="C227" s="10"/>
      <c r="D227" s="9"/>
      <c r="E227" s="9"/>
      <c r="F227" s="9"/>
      <c r="G227" s="11"/>
      <c r="H227" s="11"/>
      <c r="I227" s="61"/>
      <c r="J227" s="9"/>
      <c r="K227" s="11"/>
      <c r="L227" s="9"/>
      <c r="M227" s="14"/>
      <c r="N227" s="12"/>
      <c r="O227" s="12"/>
      <c r="P227" s="13"/>
      <c r="Q227" s="9"/>
      <c r="R227" s="12"/>
      <c r="S227" s="12"/>
      <c r="T227" s="12"/>
      <c r="U227" s="17"/>
    </row>
    <row r="228" spans="1:21" x14ac:dyDescent="0.2">
      <c r="A228" s="9"/>
      <c r="B228" s="14"/>
      <c r="C228" s="10"/>
      <c r="D228" s="9"/>
      <c r="E228" s="9"/>
      <c r="F228" s="9"/>
      <c r="G228" s="11"/>
      <c r="H228" s="11"/>
      <c r="I228" s="61"/>
      <c r="J228" s="9"/>
      <c r="K228" s="11"/>
      <c r="L228" s="9"/>
      <c r="M228" s="14"/>
      <c r="N228" s="12"/>
      <c r="O228" s="12"/>
      <c r="P228" s="13"/>
      <c r="Q228" s="9"/>
      <c r="R228" s="12"/>
      <c r="S228" s="12"/>
      <c r="T228" s="12"/>
      <c r="U228" s="17"/>
    </row>
    <row r="229" spans="1:21" x14ac:dyDescent="0.2">
      <c r="A229" s="9"/>
      <c r="B229" s="14"/>
      <c r="C229" s="10"/>
      <c r="D229" s="9"/>
      <c r="E229" s="9"/>
      <c r="F229" s="9"/>
      <c r="G229" s="11"/>
      <c r="H229" s="11"/>
      <c r="I229" s="61"/>
      <c r="J229" s="9"/>
      <c r="K229" s="11"/>
      <c r="L229" s="9"/>
      <c r="M229" s="14"/>
      <c r="N229" s="12"/>
      <c r="O229" s="12"/>
      <c r="P229" s="13"/>
      <c r="Q229" s="9"/>
      <c r="R229" s="12"/>
      <c r="S229" s="12"/>
      <c r="T229" s="12"/>
      <c r="U229" s="17"/>
    </row>
    <row r="230" spans="1:21" x14ac:dyDescent="0.2">
      <c r="A230" s="9"/>
      <c r="B230" s="14"/>
      <c r="C230" s="10"/>
      <c r="D230" s="9"/>
      <c r="E230" s="9"/>
      <c r="F230" s="9"/>
      <c r="G230" s="11"/>
      <c r="H230" s="11"/>
      <c r="I230" s="61"/>
      <c r="J230" s="9"/>
      <c r="K230" s="11"/>
      <c r="L230" s="9"/>
      <c r="M230" s="14"/>
      <c r="N230" s="12"/>
      <c r="O230" s="12"/>
      <c r="P230" s="13"/>
      <c r="Q230" s="9"/>
      <c r="R230" s="12"/>
      <c r="S230" s="12"/>
      <c r="T230" s="12"/>
      <c r="U230" s="17"/>
    </row>
    <row r="231" spans="1:21" x14ac:dyDescent="0.2">
      <c r="A231" s="9"/>
      <c r="B231" s="14"/>
      <c r="C231" s="10"/>
      <c r="D231" s="9"/>
      <c r="E231" s="9"/>
      <c r="F231" s="9"/>
      <c r="G231" s="11"/>
      <c r="H231" s="11"/>
      <c r="I231" s="61"/>
      <c r="J231" s="9"/>
      <c r="K231" s="11"/>
      <c r="L231" s="9"/>
      <c r="M231" s="14"/>
      <c r="N231" s="12"/>
      <c r="O231" s="12"/>
      <c r="P231" s="13"/>
      <c r="Q231" s="9"/>
      <c r="R231" s="12"/>
      <c r="S231" s="12"/>
      <c r="T231" s="12"/>
      <c r="U231" s="17"/>
    </row>
    <row r="232" spans="1:21" x14ac:dyDescent="0.2">
      <c r="A232" s="9"/>
      <c r="B232" s="14"/>
      <c r="C232" s="10"/>
      <c r="D232" s="9"/>
      <c r="E232" s="9"/>
      <c r="F232" s="9"/>
      <c r="G232" s="11"/>
      <c r="H232" s="11"/>
      <c r="I232" s="61"/>
      <c r="J232" s="9"/>
      <c r="K232" s="11"/>
      <c r="L232" s="9"/>
      <c r="M232" s="14"/>
      <c r="N232" s="12"/>
      <c r="O232" s="12"/>
      <c r="P232" s="13"/>
      <c r="Q232" s="9"/>
      <c r="R232" s="12"/>
      <c r="S232" s="12"/>
      <c r="T232" s="12"/>
      <c r="U232" s="17"/>
    </row>
    <row r="233" spans="1:21" x14ac:dyDescent="0.2">
      <c r="A233" s="9"/>
      <c r="B233" s="14"/>
      <c r="C233" s="10"/>
      <c r="D233" s="9"/>
      <c r="E233" s="9"/>
      <c r="F233" s="9"/>
      <c r="G233" s="11"/>
      <c r="H233" s="11"/>
      <c r="I233" s="61"/>
      <c r="J233" s="9"/>
      <c r="K233" s="11"/>
      <c r="L233" s="9"/>
      <c r="M233" s="14"/>
      <c r="N233" s="12"/>
      <c r="O233" s="12"/>
      <c r="P233" s="13"/>
      <c r="Q233" s="9"/>
      <c r="R233" s="12"/>
      <c r="S233" s="12"/>
      <c r="T233" s="12"/>
      <c r="U233" s="17"/>
    </row>
    <row r="234" spans="1:21" x14ac:dyDescent="0.2">
      <c r="A234" s="9"/>
      <c r="B234" s="14"/>
      <c r="C234" s="10"/>
      <c r="D234" s="9"/>
      <c r="E234" s="9"/>
      <c r="F234" s="9"/>
      <c r="G234" s="11"/>
      <c r="H234" s="11"/>
      <c r="I234" s="61"/>
      <c r="J234" s="9"/>
      <c r="K234" s="11"/>
      <c r="L234" s="9"/>
      <c r="M234" s="14"/>
      <c r="N234" s="12"/>
      <c r="O234" s="12"/>
      <c r="P234" s="13"/>
      <c r="Q234" s="9"/>
      <c r="R234" s="12"/>
      <c r="S234" s="12"/>
      <c r="T234" s="12"/>
      <c r="U234" s="17"/>
    </row>
    <row r="235" spans="1:21" x14ac:dyDescent="0.2">
      <c r="A235" s="9"/>
      <c r="B235" s="14"/>
      <c r="C235" s="10"/>
      <c r="D235" s="9"/>
      <c r="E235" s="9"/>
      <c r="F235" s="9"/>
      <c r="G235" s="11"/>
      <c r="H235" s="11"/>
      <c r="I235" s="61"/>
      <c r="J235" s="9"/>
      <c r="K235" s="11"/>
      <c r="L235" s="9"/>
      <c r="M235" s="14"/>
      <c r="N235" s="12"/>
      <c r="O235" s="12"/>
      <c r="P235" s="13"/>
      <c r="Q235" s="9"/>
      <c r="R235" s="12"/>
      <c r="S235" s="12"/>
      <c r="T235" s="12"/>
      <c r="U235" s="17"/>
    </row>
    <row r="236" spans="1:21" x14ac:dyDescent="0.2">
      <c r="A236" s="9"/>
      <c r="B236" s="14"/>
      <c r="C236" s="10"/>
      <c r="D236" s="9"/>
      <c r="E236" s="9"/>
      <c r="F236" s="9"/>
      <c r="G236" s="11"/>
      <c r="H236" s="11"/>
      <c r="I236" s="61"/>
      <c r="J236" s="9"/>
      <c r="K236" s="11"/>
      <c r="L236" s="9"/>
      <c r="M236" s="14"/>
      <c r="N236" s="12"/>
      <c r="O236" s="12"/>
      <c r="P236" s="13"/>
      <c r="Q236" s="9"/>
      <c r="R236" s="12"/>
      <c r="S236" s="12"/>
      <c r="T236" s="12"/>
      <c r="U236" s="17"/>
    </row>
    <row r="237" spans="1:21" x14ac:dyDescent="0.2">
      <c r="A237" s="9"/>
      <c r="B237" s="14"/>
      <c r="C237" s="10"/>
      <c r="D237" s="9"/>
      <c r="E237" s="9"/>
      <c r="F237" s="9"/>
      <c r="G237" s="11"/>
      <c r="H237" s="11"/>
      <c r="I237" s="61"/>
      <c r="J237" s="9"/>
      <c r="K237" s="11"/>
      <c r="L237" s="9"/>
      <c r="M237" s="14"/>
      <c r="N237" s="12"/>
      <c r="O237" s="12"/>
      <c r="P237" s="13"/>
      <c r="Q237" s="9"/>
      <c r="R237" s="12"/>
      <c r="S237" s="12"/>
      <c r="T237" s="12"/>
      <c r="U237" s="17"/>
    </row>
    <row r="238" spans="1:21" x14ac:dyDescent="0.2">
      <c r="A238" s="9"/>
      <c r="B238" s="14"/>
      <c r="C238" s="10"/>
      <c r="D238" s="9"/>
      <c r="E238" s="9"/>
      <c r="F238" s="9"/>
      <c r="G238" s="11"/>
      <c r="H238" s="11"/>
      <c r="I238" s="61"/>
      <c r="J238" s="9"/>
      <c r="K238" s="11"/>
      <c r="L238" s="9"/>
      <c r="M238" s="14"/>
      <c r="N238" s="12"/>
      <c r="O238" s="12"/>
      <c r="P238" s="13"/>
      <c r="Q238" s="9"/>
      <c r="R238" s="12"/>
      <c r="S238" s="12"/>
      <c r="T238" s="12"/>
      <c r="U238" s="17"/>
    </row>
    <row r="239" spans="1:21" x14ac:dyDescent="0.2">
      <c r="A239" s="9"/>
      <c r="B239" s="14"/>
      <c r="C239" s="10"/>
      <c r="D239" s="9"/>
      <c r="E239" s="9"/>
      <c r="F239" s="9"/>
      <c r="G239" s="11"/>
      <c r="H239" s="11"/>
      <c r="I239" s="61"/>
      <c r="J239" s="9"/>
      <c r="K239" s="11"/>
      <c r="L239" s="9"/>
      <c r="M239" s="14"/>
      <c r="N239" s="12"/>
      <c r="O239" s="12"/>
      <c r="P239" s="13"/>
      <c r="Q239" s="9"/>
      <c r="R239" s="12"/>
      <c r="S239" s="12"/>
      <c r="T239" s="12"/>
      <c r="U239" s="17"/>
    </row>
    <row r="240" spans="1:21" x14ac:dyDescent="0.2">
      <c r="A240" s="9"/>
      <c r="B240" s="14"/>
      <c r="C240" s="10"/>
      <c r="D240" s="9"/>
      <c r="E240" s="9"/>
      <c r="F240" s="9"/>
      <c r="G240" s="11"/>
      <c r="H240" s="11"/>
      <c r="I240" s="61"/>
      <c r="J240" s="9"/>
      <c r="K240" s="11"/>
      <c r="L240" s="9"/>
      <c r="M240" s="14"/>
      <c r="N240" s="12"/>
      <c r="O240" s="12"/>
      <c r="P240" s="13"/>
      <c r="Q240" s="9"/>
      <c r="R240" s="12"/>
      <c r="S240" s="12"/>
      <c r="T240" s="12"/>
      <c r="U240" s="17"/>
    </row>
    <row r="241" spans="1:21" x14ac:dyDescent="0.2">
      <c r="A241" s="9"/>
      <c r="B241" s="14"/>
      <c r="C241" s="10"/>
      <c r="D241" s="9"/>
      <c r="E241" s="9"/>
      <c r="F241" s="9"/>
      <c r="G241" s="11"/>
      <c r="H241" s="11"/>
      <c r="I241" s="61"/>
      <c r="J241" s="9"/>
      <c r="K241" s="11"/>
      <c r="L241" s="9"/>
      <c r="M241" s="14"/>
      <c r="N241" s="12"/>
      <c r="O241" s="12"/>
      <c r="P241" s="13"/>
      <c r="Q241" s="9"/>
      <c r="R241" s="12"/>
      <c r="S241" s="12"/>
      <c r="T241" s="12"/>
      <c r="U241" s="17"/>
    </row>
    <row r="242" spans="1:21" x14ac:dyDescent="0.2">
      <c r="A242" s="9"/>
      <c r="B242" s="14"/>
      <c r="C242" s="10"/>
      <c r="D242" s="9"/>
      <c r="E242" s="9"/>
      <c r="F242" s="9"/>
      <c r="G242" s="11"/>
      <c r="H242" s="11"/>
      <c r="I242" s="61"/>
      <c r="J242" s="9"/>
      <c r="K242" s="11"/>
      <c r="L242" s="9"/>
      <c r="M242" s="14"/>
      <c r="N242" s="12"/>
      <c r="O242" s="12"/>
      <c r="P242" s="13"/>
      <c r="Q242" s="9"/>
      <c r="R242" s="12"/>
      <c r="S242" s="12"/>
      <c r="T242" s="12"/>
      <c r="U242" s="17"/>
    </row>
    <row r="243" spans="1:21" x14ac:dyDescent="0.2">
      <c r="A243" s="9"/>
      <c r="B243" s="14"/>
      <c r="C243" s="10"/>
      <c r="D243" s="9"/>
      <c r="E243" s="9"/>
      <c r="F243" s="9"/>
      <c r="G243" s="11"/>
      <c r="H243" s="11"/>
      <c r="I243" s="61"/>
      <c r="J243" s="9"/>
      <c r="K243" s="11"/>
      <c r="L243" s="9"/>
      <c r="M243" s="14"/>
      <c r="N243" s="12"/>
      <c r="O243" s="12"/>
      <c r="P243" s="13"/>
      <c r="Q243" s="9"/>
      <c r="R243" s="12"/>
      <c r="S243" s="12"/>
      <c r="T243" s="12"/>
      <c r="U243" s="17"/>
    </row>
    <row r="244" spans="1:21" x14ac:dyDescent="0.2">
      <c r="A244" s="9"/>
      <c r="B244" s="14"/>
      <c r="C244" s="10"/>
      <c r="D244" s="9"/>
      <c r="E244" s="9"/>
      <c r="F244" s="9"/>
      <c r="G244" s="11"/>
      <c r="H244" s="11"/>
      <c r="I244" s="61"/>
      <c r="J244" s="9"/>
      <c r="K244" s="11"/>
      <c r="L244" s="9"/>
      <c r="M244" s="14"/>
      <c r="N244" s="12"/>
      <c r="O244" s="12"/>
      <c r="P244" s="13"/>
      <c r="Q244" s="9"/>
      <c r="R244" s="12"/>
      <c r="S244" s="12"/>
      <c r="T244" s="12"/>
      <c r="U244" s="17"/>
    </row>
    <row r="245" spans="1:21" x14ac:dyDescent="0.2">
      <c r="A245" s="9"/>
      <c r="B245" s="14"/>
      <c r="C245" s="10"/>
      <c r="D245" s="9"/>
      <c r="E245" s="9"/>
      <c r="F245" s="9"/>
      <c r="G245" s="11"/>
      <c r="H245" s="11"/>
      <c r="I245" s="61"/>
      <c r="J245" s="9"/>
      <c r="K245" s="11"/>
      <c r="L245" s="9"/>
      <c r="M245" s="14"/>
      <c r="N245" s="12"/>
      <c r="O245" s="12"/>
      <c r="P245" s="13"/>
      <c r="Q245" s="9"/>
      <c r="R245" s="12"/>
      <c r="S245" s="12"/>
      <c r="T245" s="12"/>
      <c r="U245" s="17"/>
    </row>
    <row r="246" spans="1:21" x14ac:dyDescent="0.2">
      <c r="A246" s="9"/>
      <c r="B246" s="14"/>
      <c r="C246" s="10"/>
      <c r="D246" s="9"/>
      <c r="E246" s="9"/>
      <c r="F246" s="9"/>
      <c r="G246" s="11"/>
      <c r="H246" s="11"/>
      <c r="I246" s="61"/>
      <c r="J246" s="9"/>
      <c r="K246" s="11"/>
      <c r="L246" s="9"/>
      <c r="M246" s="14"/>
      <c r="N246" s="12"/>
      <c r="O246" s="12"/>
      <c r="P246" s="13"/>
      <c r="Q246" s="9"/>
      <c r="R246" s="12"/>
      <c r="S246" s="12"/>
      <c r="T246" s="12"/>
      <c r="U246" s="17"/>
    </row>
    <row r="247" spans="1:21" x14ac:dyDescent="0.2">
      <c r="A247" s="9"/>
      <c r="B247" s="14"/>
      <c r="C247" s="10"/>
      <c r="D247" s="9"/>
      <c r="E247" s="9"/>
      <c r="F247" s="9"/>
      <c r="G247" s="11"/>
      <c r="H247" s="11"/>
      <c r="I247" s="61"/>
      <c r="J247" s="9"/>
      <c r="K247" s="11"/>
      <c r="L247" s="9"/>
      <c r="M247" s="14"/>
      <c r="N247" s="12"/>
      <c r="O247" s="12"/>
      <c r="P247" s="13"/>
      <c r="Q247" s="9"/>
      <c r="R247" s="12"/>
      <c r="S247" s="12"/>
      <c r="T247" s="12"/>
      <c r="U247" s="17"/>
    </row>
    <row r="248" spans="1:21" x14ac:dyDescent="0.2">
      <c r="A248" s="9"/>
      <c r="B248" s="14"/>
      <c r="C248" s="10"/>
      <c r="D248" s="9"/>
      <c r="E248" s="9"/>
      <c r="F248" s="9"/>
      <c r="G248" s="11"/>
      <c r="H248" s="11"/>
      <c r="I248" s="61"/>
      <c r="J248" s="9"/>
      <c r="K248" s="11"/>
      <c r="L248" s="9"/>
      <c r="M248" s="14"/>
      <c r="N248" s="12"/>
      <c r="O248" s="12"/>
      <c r="P248" s="13"/>
      <c r="Q248" s="9"/>
      <c r="R248" s="12"/>
      <c r="S248" s="12"/>
      <c r="T248" s="12"/>
      <c r="U248" s="17"/>
    </row>
    <row r="249" spans="1:21" x14ac:dyDescent="0.2">
      <c r="A249" s="9"/>
      <c r="B249" s="14"/>
      <c r="C249" s="10"/>
      <c r="D249" s="9"/>
      <c r="E249" s="9"/>
      <c r="F249" s="9"/>
      <c r="G249" s="11"/>
      <c r="H249" s="11"/>
      <c r="I249" s="61"/>
      <c r="J249" s="9"/>
      <c r="K249" s="11"/>
      <c r="L249" s="9"/>
      <c r="M249" s="14"/>
      <c r="N249" s="12"/>
      <c r="O249" s="12"/>
      <c r="P249" s="13"/>
      <c r="Q249" s="9"/>
      <c r="R249" s="12"/>
      <c r="S249" s="12"/>
      <c r="T249" s="12"/>
      <c r="U249" s="17"/>
    </row>
    <row r="250" spans="1:21" x14ac:dyDescent="0.2">
      <c r="A250" s="9"/>
      <c r="B250" s="14"/>
      <c r="C250" s="10"/>
      <c r="D250" s="9"/>
      <c r="E250" s="9"/>
      <c r="F250" s="9"/>
      <c r="G250" s="11"/>
      <c r="H250" s="11"/>
      <c r="I250" s="61"/>
      <c r="J250" s="9"/>
      <c r="K250" s="11"/>
      <c r="L250" s="9"/>
      <c r="M250" s="14"/>
      <c r="N250" s="12"/>
      <c r="O250" s="12"/>
      <c r="P250" s="13"/>
      <c r="Q250" s="9"/>
      <c r="R250" s="12"/>
      <c r="S250" s="12"/>
      <c r="T250" s="12"/>
      <c r="U250" s="17"/>
    </row>
    <row r="251" spans="1:21" x14ac:dyDescent="0.2">
      <c r="A251" s="9"/>
      <c r="B251" s="14"/>
      <c r="C251" s="10"/>
      <c r="D251" s="9"/>
      <c r="E251" s="9"/>
      <c r="F251" s="9"/>
      <c r="G251" s="11"/>
      <c r="H251" s="11"/>
      <c r="I251" s="61"/>
      <c r="J251" s="9"/>
      <c r="K251" s="11"/>
      <c r="L251" s="9"/>
      <c r="M251" s="14"/>
      <c r="N251" s="12"/>
      <c r="O251" s="12"/>
      <c r="P251" s="13"/>
      <c r="Q251" s="9"/>
      <c r="R251" s="12"/>
      <c r="S251" s="12"/>
      <c r="T251" s="12"/>
      <c r="U251" s="17"/>
    </row>
    <row r="252" spans="1:21" x14ac:dyDescent="0.2">
      <c r="A252" s="9"/>
      <c r="B252" s="14"/>
      <c r="C252" s="10"/>
      <c r="D252" s="9"/>
      <c r="E252" s="9"/>
      <c r="F252" s="9"/>
      <c r="G252" s="11"/>
      <c r="H252" s="11"/>
      <c r="I252" s="61"/>
      <c r="J252" s="9"/>
      <c r="K252" s="11"/>
      <c r="L252" s="9"/>
      <c r="M252" s="14"/>
      <c r="N252" s="12"/>
      <c r="O252" s="12"/>
      <c r="P252" s="13"/>
      <c r="Q252" s="9"/>
      <c r="R252" s="12"/>
      <c r="S252" s="12"/>
      <c r="T252" s="12"/>
      <c r="U252" s="17"/>
    </row>
    <row r="253" spans="1:21" x14ac:dyDescent="0.2">
      <c r="A253" s="9"/>
      <c r="B253" s="14"/>
      <c r="C253" s="10"/>
      <c r="D253" s="9"/>
      <c r="E253" s="9"/>
      <c r="F253" s="9"/>
      <c r="G253" s="11"/>
      <c r="H253" s="11"/>
      <c r="I253" s="61"/>
      <c r="J253" s="9"/>
      <c r="K253" s="11"/>
      <c r="L253" s="9"/>
      <c r="M253" s="14"/>
      <c r="N253" s="12"/>
      <c r="O253" s="12"/>
      <c r="P253" s="13"/>
      <c r="Q253" s="9"/>
      <c r="R253" s="12"/>
      <c r="S253" s="12"/>
      <c r="T253" s="12"/>
      <c r="U253" s="17"/>
    </row>
    <row r="254" spans="1:21" x14ac:dyDescent="0.2">
      <c r="A254" s="9"/>
      <c r="B254" s="14"/>
      <c r="C254" s="10"/>
      <c r="D254" s="9"/>
      <c r="E254" s="9"/>
      <c r="F254" s="9"/>
      <c r="G254" s="11"/>
      <c r="H254" s="11"/>
      <c r="I254" s="61"/>
      <c r="J254" s="9"/>
      <c r="K254" s="11"/>
      <c r="L254" s="9"/>
      <c r="M254" s="14"/>
      <c r="N254" s="12"/>
      <c r="O254" s="12"/>
      <c r="P254" s="13"/>
      <c r="Q254" s="9"/>
      <c r="R254" s="12"/>
      <c r="S254" s="12"/>
      <c r="T254" s="12"/>
      <c r="U254" s="17"/>
    </row>
    <row r="255" spans="1:21" x14ac:dyDescent="0.2">
      <c r="A255" s="9"/>
      <c r="B255" s="14"/>
      <c r="C255" s="10"/>
      <c r="D255" s="9"/>
      <c r="E255" s="9"/>
      <c r="F255" s="9"/>
      <c r="G255" s="11"/>
      <c r="H255" s="11"/>
      <c r="I255" s="61"/>
      <c r="J255" s="9"/>
      <c r="K255" s="11"/>
      <c r="L255" s="9"/>
      <c r="M255" s="14"/>
      <c r="N255" s="12"/>
      <c r="O255" s="12"/>
      <c r="P255" s="13"/>
      <c r="Q255" s="9"/>
      <c r="R255" s="12"/>
      <c r="S255" s="12"/>
      <c r="T255" s="12"/>
      <c r="U255" s="17"/>
    </row>
    <row r="256" spans="1:21" x14ac:dyDescent="0.2">
      <c r="A256" s="9"/>
      <c r="B256" s="14"/>
      <c r="C256" s="10"/>
      <c r="D256" s="9"/>
      <c r="E256" s="9"/>
      <c r="F256" s="9"/>
      <c r="G256" s="11"/>
      <c r="H256" s="11"/>
      <c r="I256" s="61"/>
      <c r="J256" s="9"/>
      <c r="K256" s="11"/>
      <c r="L256" s="9"/>
      <c r="M256" s="14"/>
      <c r="N256" s="12"/>
      <c r="O256" s="12"/>
      <c r="P256" s="13"/>
      <c r="Q256" s="9"/>
      <c r="R256" s="12"/>
      <c r="S256" s="12"/>
      <c r="T256" s="12"/>
      <c r="U256" s="17"/>
    </row>
    <row r="257" spans="1:21" x14ac:dyDescent="0.2">
      <c r="A257" s="9"/>
      <c r="B257" s="14"/>
      <c r="C257" s="10"/>
      <c r="D257" s="9"/>
      <c r="E257" s="9"/>
      <c r="F257" s="9"/>
      <c r="G257" s="11"/>
      <c r="H257" s="11"/>
      <c r="I257" s="61"/>
      <c r="J257" s="9"/>
      <c r="K257" s="11"/>
      <c r="L257" s="9"/>
      <c r="M257" s="14"/>
      <c r="N257" s="12"/>
      <c r="O257" s="12"/>
      <c r="P257" s="13"/>
      <c r="Q257" s="9"/>
      <c r="R257" s="12"/>
      <c r="S257" s="12"/>
      <c r="T257" s="12"/>
      <c r="U257" s="17"/>
    </row>
    <row r="258" spans="1:21" x14ac:dyDescent="0.2">
      <c r="A258" s="9"/>
      <c r="B258" s="14"/>
      <c r="C258" s="10"/>
      <c r="D258" s="9"/>
      <c r="E258" s="9"/>
      <c r="F258" s="9"/>
      <c r="G258" s="11"/>
      <c r="H258" s="11"/>
      <c r="I258" s="61"/>
      <c r="J258" s="9"/>
      <c r="K258" s="11"/>
      <c r="L258" s="9"/>
      <c r="M258" s="14"/>
      <c r="N258" s="12"/>
      <c r="O258" s="12"/>
      <c r="P258" s="13"/>
      <c r="Q258" s="9"/>
      <c r="R258" s="12"/>
      <c r="S258" s="12"/>
      <c r="T258" s="12"/>
      <c r="U258" s="17"/>
    </row>
    <row r="259" spans="1:21" x14ac:dyDescent="0.2">
      <c r="A259" s="9"/>
      <c r="B259" s="14"/>
      <c r="C259" s="10"/>
      <c r="D259" s="9"/>
      <c r="E259" s="9"/>
      <c r="F259" s="9"/>
      <c r="G259" s="11"/>
      <c r="H259" s="11"/>
      <c r="I259" s="61"/>
      <c r="J259" s="9"/>
      <c r="K259" s="11"/>
      <c r="L259" s="9"/>
      <c r="M259" s="14"/>
      <c r="N259" s="12"/>
      <c r="O259" s="12"/>
      <c r="P259" s="13"/>
      <c r="Q259" s="9"/>
      <c r="R259" s="12"/>
      <c r="S259" s="12"/>
      <c r="T259" s="12"/>
      <c r="U259" s="17"/>
    </row>
    <row r="260" spans="1:21" x14ac:dyDescent="0.2">
      <c r="A260" s="9"/>
      <c r="B260" s="14"/>
      <c r="C260" s="10"/>
      <c r="D260" s="9"/>
      <c r="E260" s="9"/>
      <c r="F260" s="9"/>
      <c r="G260" s="11"/>
      <c r="H260" s="11"/>
      <c r="I260" s="61"/>
      <c r="J260" s="9"/>
      <c r="K260" s="11"/>
      <c r="L260" s="9"/>
      <c r="M260" s="14"/>
      <c r="N260" s="12"/>
      <c r="O260" s="12"/>
      <c r="P260" s="13"/>
      <c r="Q260" s="9"/>
      <c r="R260" s="12"/>
      <c r="S260" s="12"/>
      <c r="T260" s="12"/>
      <c r="U260" s="17"/>
    </row>
    <row r="261" spans="1:21" x14ac:dyDescent="0.2">
      <c r="A261" s="9"/>
      <c r="B261" s="14"/>
      <c r="C261" s="10"/>
      <c r="D261" s="9"/>
      <c r="E261" s="9"/>
      <c r="F261" s="9"/>
      <c r="G261" s="11"/>
      <c r="H261" s="11"/>
      <c r="I261" s="61"/>
      <c r="J261" s="9"/>
      <c r="K261" s="11"/>
      <c r="L261" s="9"/>
      <c r="M261" s="14"/>
      <c r="N261" s="12"/>
      <c r="O261" s="12"/>
      <c r="P261" s="13"/>
      <c r="Q261" s="9"/>
      <c r="R261" s="12"/>
      <c r="S261" s="12"/>
      <c r="T261" s="12"/>
      <c r="U261" s="17"/>
    </row>
    <row r="262" spans="1:21" x14ac:dyDescent="0.2">
      <c r="A262" s="9"/>
      <c r="B262" s="14"/>
      <c r="C262" s="10"/>
      <c r="D262" s="9"/>
      <c r="E262" s="9"/>
      <c r="F262" s="9"/>
      <c r="G262" s="11"/>
      <c r="H262" s="11"/>
      <c r="I262" s="61"/>
      <c r="J262" s="9"/>
      <c r="K262" s="11"/>
      <c r="L262" s="9"/>
      <c r="M262" s="14"/>
      <c r="N262" s="12"/>
      <c r="O262" s="12"/>
      <c r="P262" s="13"/>
      <c r="Q262" s="9"/>
      <c r="R262" s="12"/>
      <c r="S262" s="12"/>
      <c r="T262" s="12"/>
      <c r="U262" s="17"/>
    </row>
    <row r="263" spans="1:21" x14ac:dyDescent="0.2">
      <c r="A263" s="9"/>
      <c r="B263" s="14"/>
      <c r="C263" s="10"/>
      <c r="D263" s="9"/>
      <c r="E263" s="9"/>
      <c r="F263" s="9"/>
      <c r="G263" s="11"/>
      <c r="H263" s="11"/>
      <c r="I263" s="61"/>
      <c r="J263" s="9"/>
      <c r="K263" s="11"/>
      <c r="L263" s="9"/>
      <c r="M263" s="14"/>
      <c r="N263" s="12"/>
      <c r="O263" s="12"/>
      <c r="P263" s="13"/>
      <c r="Q263" s="9"/>
      <c r="R263" s="12"/>
      <c r="S263" s="12"/>
      <c r="T263" s="12"/>
      <c r="U263" s="17"/>
    </row>
    <row r="264" spans="1:21" x14ac:dyDescent="0.2">
      <c r="A264" s="9"/>
      <c r="B264" s="14"/>
      <c r="C264" s="10"/>
      <c r="D264" s="9"/>
      <c r="E264" s="9"/>
      <c r="F264" s="9"/>
      <c r="G264" s="11"/>
      <c r="H264" s="11"/>
      <c r="I264" s="61"/>
      <c r="J264" s="9"/>
      <c r="K264" s="11"/>
      <c r="L264" s="9"/>
      <c r="M264" s="14"/>
      <c r="N264" s="12"/>
      <c r="O264" s="12"/>
      <c r="P264" s="13"/>
      <c r="Q264" s="9"/>
      <c r="R264" s="12"/>
      <c r="S264" s="12"/>
      <c r="T264" s="12"/>
      <c r="U264" s="17"/>
    </row>
    <row r="265" spans="1:21" x14ac:dyDescent="0.2">
      <c r="A265" s="9"/>
      <c r="B265" s="14"/>
      <c r="C265" s="10"/>
      <c r="D265" s="9"/>
      <c r="E265" s="9"/>
      <c r="F265" s="9"/>
      <c r="G265" s="11"/>
      <c r="H265" s="11"/>
      <c r="I265" s="61"/>
      <c r="J265" s="9"/>
      <c r="K265" s="11"/>
      <c r="L265" s="9"/>
      <c r="M265" s="14"/>
      <c r="N265" s="12"/>
      <c r="O265" s="12"/>
      <c r="P265" s="13"/>
      <c r="Q265" s="9"/>
      <c r="R265" s="12"/>
      <c r="S265" s="12"/>
      <c r="T265" s="12"/>
      <c r="U265" s="17"/>
    </row>
    <row r="266" spans="1:21" x14ac:dyDescent="0.2">
      <c r="A266" s="9"/>
      <c r="B266" s="14"/>
      <c r="C266" s="10"/>
      <c r="D266" s="9"/>
      <c r="E266" s="9"/>
      <c r="F266" s="9"/>
      <c r="G266" s="11"/>
      <c r="H266" s="11"/>
      <c r="I266" s="61"/>
      <c r="J266" s="9"/>
      <c r="K266" s="11"/>
      <c r="L266" s="9"/>
      <c r="M266" s="14"/>
      <c r="N266" s="12"/>
      <c r="O266" s="12"/>
      <c r="P266" s="13"/>
      <c r="Q266" s="9"/>
      <c r="R266" s="12"/>
      <c r="S266" s="12"/>
      <c r="T266" s="12"/>
      <c r="U266" s="17"/>
    </row>
    <row r="267" spans="1:21" x14ac:dyDescent="0.2">
      <c r="A267" s="9"/>
      <c r="B267" s="14"/>
      <c r="C267" s="10"/>
      <c r="D267" s="9"/>
      <c r="E267" s="9"/>
      <c r="F267" s="9"/>
      <c r="G267" s="11"/>
      <c r="H267" s="11"/>
      <c r="I267" s="61"/>
      <c r="J267" s="9"/>
      <c r="K267" s="11"/>
      <c r="L267" s="9"/>
      <c r="M267" s="14"/>
      <c r="N267" s="12"/>
      <c r="O267" s="12"/>
      <c r="P267" s="13"/>
      <c r="Q267" s="9"/>
      <c r="R267" s="12"/>
      <c r="S267" s="12"/>
      <c r="T267" s="12"/>
      <c r="U267" s="17"/>
    </row>
    <row r="268" spans="1:21" x14ac:dyDescent="0.2">
      <c r="A268" s="9"/>
      <c r="B268" s="14"/>
      <c r="C268" s="10"/>
      <c r="D268" s="9"/>
      <c r="E268" s="9"/>
      <c r="F268" s="9"/>
      <c r="G268" s="11"/>
      <c r="H268" s="11"/>
      <c r="I268" s="61"/>
      <c r="J268" s="9"/>
      <c r="K268" s="11"/>
      <c r="L268" s="9"/>
      <c r="M268" s="14"/>
      <c r="N268" s="12"/>
      <c r="O268" s="12"/>
      <c r="P268" s="13"/>
      <c r="Q268" s="9"/>
      <c r="R268" s="12"/>
      <c r="S268" s="12"/>
      <c r="T268" s="12"/>
      <c r="U268" s="17"/>
    </row>
    <row r="269" spans="1:21" x14ac:dyDescent="0.2">
      <c r="A269" s="9"/>
      <c r="B269" s="14"/>
      <c r="C269" s="10"/>
      <c r="D269" s="9"/>
      <c r="E269" s="9"/>
      <c r="F269" s="9"/>
      <c r="G269" s="11"/>
      <c r="H269" s="11"/>
      <c r="I269" s="61"/>
      <c r="J269" s="9"/>
      <c r="K269" s="11"/>
      <c r="L269" s="9"/>
      <c r="M269" s="14"/>
      <c r="N269" s="12"/>
      <c r="O269" s="12"/>
      <c r="P269" s="13"/>
      <c r="Q269" s="9"/>
      <c r="R269" s="12"/>
      <c r="S269" s="12"/>
      <c r="T269" s="12"/>
      <c r="U269" s="17"/>
    </row>
    <row r="270" spans="1:21" x14ac:dyDescent="0.2">
      <c r="A270" s="9"/>
      <c r="B270" s="14"/>
      <c r="C270" s="10"/>
      <c r="D270" s="9"/>
      <c r="E270" s="9"/>
      <c r="F270" s="9"/>
      <c r="G270" s="11"/>
      <c r="H270" s="11"/>
      <c r="I270" s="61"/>
      <c r="J270" s="9"/>
      <c r="K270" s="11"/>
      <c r="L270" s="9"/>
      <c r="M270" s="14"/>
      <c r="N270" s="12"/>
      <c r="O270" s="12"/>
      <c r="P270" s="13"/>
      <c r="Q270" s="9"/>
      <c r="R270" s="12"/>
      <c r="S270" s="12"/>
      <c r="T270" s="12"/>
      <c r="U270" s="17"/>
    </row>
    <row r="271" spans="1:21" x14ac:dyDescent="0.2">
      <c r="A271" s="9"/>
      <c r="B271" s="14"/>
      <c r="C271" s="10"/>
      <c r="D271" s="9"/>
      <c r="E271" s="9"/>
      <c r="F271" s="9"/>
      <c r="G271" s="11"/>
      <c r="H271" s="11"/>
      <c r="I271" s="61"/>
      <c r="J271" s="9"/>
      <c r="K271" s="11"/>
      <c r="L271" s="9"/>
      <c r="M271" s="14"/>
      <c r="N271" s="12"/>
      <c r="O271" s="12"/>
      <c r="P271" s="13"/>
      <c r="Q271" s="9"/>
      <c r="R271" s="12"/>
      <c r="S271" s="12"/>
      <c r="T271" s="12"/>
      <c r="U271" s="17"/>
    </row>
    <row r="272" spans="1:21" x14ac:dyDescent="0.2">
      <c r="A272" s="9"/>
      <c r="B272" s="14"/>
      <c r="C272" s="10"/>
      <c r="D272" s="9"/>
      <c r="E272" s="9"/>
      <c r="F272" s="9"/>
      <c r="G272" s="11"/>
      <c r="H272" s="11"/>
      <c r="I272" s="61"/>
      <c r="J272" s="9"/>
      <c r="K272" s="11"/>
      <c r="L272" s="9"/>
      <c r="M272" s="14"/>
      <c r="N272" s="12"/>
      <c r="O272" s="12"/>
      <c r="P272" s="13"/>
      <c r="Q272" s="9"/>
      <c r="R272" s="12"/>
      <c r="S272" s="12"/>
      <c r="T272" s="12"/>
      <c r="U272" s="17"/>
    </row>
    <row r="273" spans="1:21" x14ac:dyDescent="0.2">
      <c r="A273" s="9"/>
      <c r="B273" s="14"/>
      <c r="C273" s="10"/>
      <c r="D273" s="9"/>
      <c r="E273" s="9"/>
      <c r="F273" s="9"/>
      <c r="G273" s="11"/>
      <c r="H273" s="11"/>
      <c r="I273" s="61"/>
      <c r="J273" s="9"/>
      <c r="K273" s="11"/>
      <c r="L273" s="9"/>
      <c r="M273" s="14"/>
      <c r="N273" s="12"/>
      <c r="O273" s="12"/>
      <c r="P273" s="13"/>
      <c r="Q273" s="9"/>
      <c r="R273" s="12"/>
      <c r="S273" s="12"/>
      <c r="T273" s="12"/>
      <c r="U273" s="17"/>
    </row>
    <row r="274" spans="1:21" x14ac:dyDescent="0.2">
      <c r="A274" s="9"/>
      <c r="B274" s="14"/>
      <c r="C274" s="10"/>
      <c r="D274" s="9"/>
      <c r="E274" s="9"/>
      <c r="F274" s="9"/>
      <c r="G274" s="11"/>
      <c r="H274" s="11"/>
      <c r="I274" s="61"/>
      <c r="J274" s="9"/>
      <c r="K274" s="11"/>
      <c r="L274" s="9"/>
      <c r="M274" s="14"/>
      <c r="N274" s="12"/>
      <c r="O274" s="12"/>
      <c r="P274" s="13"/>
      <c r="Q274" s="9"/>
      <c r="R274" s="12"/>
      <c r="S274" s="12"/>
      <c r="T274" s="12"/>
      <c r="U274" s="17"/>
    </row>
    <row r="275" spans="1:21" x14ac:dyDescent="0.2">
      <c r="A275" s="9"/>
      <c r="B275" s="14"/>
      <c r="C275" s="10"/>
      <c r="D275" s="9"/>
      <c r="E275" s="9"/>
      <c r="F275" s="9"/>
      <c r="G275" s="11"/>
      <c r="H275" s="11"/>
      <c r="I275" s="61"/>
      <c r="J275" s="9"/>
      <c r="K275" s="11"/>
      <c r="L275" s="9"/>
      <c r="M275" s="14"/>
      <c r="N275" s="12"/>
      <c r="O275" s="12"/>
      <c r="P275" s="13"/>
      <c r="Q275" s="9"/>
      <c r="R275" s="12"/>
      <c r="S275" s="12"/>
      <c r="T275" s="12"/>
      <c r="U275" s="17"/>
    </row>
    <row r="276" spans="1:21" x14ac:dyDescent="0.2">
      <c r="A276" s="9"/>
      <c r="B276" s="14"/>
      <c r="C276" s="10"/>
      <c r="D276" s="9"/>
      <c r="E276" s="9"/>
      <c r="F276" s="9"/>
      <c r="G276" s="11"/>
      <c r="H276" s="11"/>
      <c r="I276" s="61"/>
      <c r="J276" s="9"/>
      <c r="K276" s="11"/>
      <c r="L276" s="9"/>
      <c r="M276" s="14"/>
      <c r="N276" s="12"/>
      <c r="O276" s="12"/>
      <c r="P276" s="13"/>
      <c r="Q276" s="9"/>
      <c r="R276" s="12"/>
      <c r="S276" s="12"/>
      <c r="T276" s="12"/>
      <c r="U276" s="17"/>
    </row>
    <row r="277" spans="1:21" x14ac:dyDescent="0.2">
      <c r="A277" s="9"/>
      <c r="B277" s="14"/>
      <c r="C277" s="10"/>
      <c r="D277" s="9"/>
      <c r="E277" s="9"/>
      <c r="F277" s="9"/>
      <c r="G277" s="11"/>
      <c r="H277" s="11"/>
      <c r="I277" s="61"/>
      <c r="J277" s="9"/>
      <c r="K277" s="11"/>
      <c r="L277" s="9"/>
      <c r="M277" s="14"/>
      <c r="N277" s="12"/>
      <c r="O277" s="12"/>
      <c r="P277" s="13"/>
      <c r="Q277" s="9"/>
      <c r="R277" s="12"/>
      <c r="S277" s="12"/>
      <c r="T277" s="12"/>
      <c r="U277" s="17"/>
    </row>
    <row r="278" spans="1:21" x14ac:dyDescent="0.2">
      <c r="A278" s="9"/>
      <c r="B278" s="14"/>
      <c r="C278" s="10"/>
      <c r="D278" s="9"/>
      <c r="E278" s="9"/>
      <c r="F278" s="9"/>
      <c r="G278" s="11"/>
      <c r="H278" s="11"/>
      <c r="I278" s="61"/>
      <c r="J278" s="9"/>
      <c r="K278" s="11"/>
      <c r="L278" s="9"/>
      <c r="M278" s="14"/>
      <c r="N278" s="12"/>
      <c r="O278" s="12"/>
      <c r="P278" s="13"/>
      <c r="Q278" s="9"/>
      <c r="R278" s="12"/>
      <c r="S278" s="12"/>
      <c r="T278" s="12"/>
      <c r="U278" s="17"/>
    </row>
    <row r="279" spans="1:21" x14ac:dyDescent="0.2">
      <c r="A279" s="9"/>
      <c r="B279" s="14"/>
      <c r="C279" s="10"/>
      <c r="D279" s="9"/>
      <c r="E279" s="9"/>
      <c r="F279" s="9"/>
      <c r="G279" s="11"/>
      <c r="H279" s="11"/>
      <c r="I279" s="61"/>
      <c r="J279" s="9"/>
      <c r="K279" s="11"/>
      <c r="L279" s="9"/>
      <c r="M279" s="14"/>
      <c r="N279" s="12"/>
      <c r="O279" s="12"/>
      <c r="P279" s="13"/>
      <c r="Q279" s="9"/>
      <c r="R279" s="12"/>
      <c r="S279" s="12"/>
      <c r="T279" s="12"/>
      <c r="U279" s="17"/>
    </row>
    <row r="280" spans="1:21" x14ac:dyDescent="0.2">
      <c r="A280" s="9"/>
      <c r="B280" s="14"/>
      <c r="C280" s="10"/>
      <c r="D280" s="9"/>
      <c r="E280" s="9"/>
      <c r="F280" s="9"/>
      <c r="G280" s="11"/>
      <c r="H280" s="11"/>
      <c r="I280" s="61"/>
      <c r="J280" s="9"/>
      <c r="K280" s="11"/>
      <c r="L280" s="9"/>
      <c r="M280" s="14"/>
      <c r="N280" s="12"/>
      <c r="O280" s="12"/>
      <c r="P280" s="13"/>
      <c r="Q280" s="9"/>
      <c r="R280" s="12"/>
      <c r="S280" s="12"/>
      <c r="T280" s="12"/>
      <c r="U280" s="17"/>
    </row>
    <row r="281" spans="1:21" x14ac:dyDescent="0.2">
      <c r="A281" s="9"/>
      <c r="B281" s="14"/>
      <c r="C281" s="10"/>
      <c r="D281" s="9"/>
      <c r="E281" s="9"/>
      <c r="F281" s="9"/>
      <c r="G281" s="11"/>
      <c r="H281" s="11"/>
      <c r="I281" s="61"/>
      <c r="J281" s="9"/>
      <c r="K281" s="11"/>
      <c r="L281" s="9"/>
      <c r="M281" s="14"/>
      <c r="N281" s="12"/>
      <c r="O281" s="12"/>
      <c r="P281" s="13"/>
      <c r="Q281" s="9"/>
      <c r="R281" s="12"/>
      <c r="S281" s="12"/>
      <c r="T281" s="12"/>
      <c r="U281" s="17"/>
    </row>
    <row r="282" spans="1:21" x14ac:dyDescent="0.2">
      <c r="A282" s="9"/>
      <c r="B282" s="14"/>
      <c r="C282" s="10"/>
      <c r="D282" s="9"/>
      <c r="E282" s="9"/>
      <c r="F282" s="9"/>
      <c r="G282" s="11"/>
      <c r="H282" s="11"/>
      <c r="I282" s="61"/>
      <c r="J282" s="9"/>
      <c r="K282" s="11"/>
      <c r="L282" s="9"/>
      <c r="M282" s="14"/>
      <c r="N282" s="12"/>
      <c r="O282" s="12"/>
      <c r="P282" s="13"/>
      <c r="Q282" s="9"/>
      <c r="R282" s="12"/>
      <c r="S282" s="12"/>
      <c r="T282" s="12"/>
      <c r="U282" s="17"/>
    </row>
    <row r="283" spans="1:21" x14ac:dyDescent="0.2">
      <c r="A283" s="9"/>
      <c r="B283" s="14"/>
      <c r="C283" s="10"/>
      <c r="D283" s="9"/>
      <c r="E283" s="9"/>
      <c r="F283" s="9"/>
      <c r="G283" s="11"/>
      <c r="H283" s="11"/>
      <c r="I283" s="61"/>
      <c r="J283" s="9"/>
      <c r="K283" s="11"/>
      <c r="L283" s="9"/>
      <c r="M283" s="14"/>
      <c r="N283" s="12"/>
      <c r="O283" s="12"/>
      <c r="P283" s="13"/>
      <c r="Q283" s="9"/>
      <c r="R283" s="12"/>
      <c r="S283" s="12"/>
      <c r="T283" s="12"/>
      <c r="U283" s="17"/>
    </row>
    <row r="284" spans="1:21" x14ac:dyDescent="0.2">
      <c r="A284" s="9"/>
      <c r="B284" s="14"/>
      <c r="C284" s="10"/>
      <c r="D284" s="9"/>
      <c r="E284" s="9"/>
      <c r="F284" s="9"/>
      <c r="G284" s="11"/>
      <c r="H284" s="11"/>
      <c r="I284" s="61"/>
      <c r="J284" s="9"/>
      <c r="K284" s="11"/>
      <c r="L284" s="9"/>
      <c r="M284" s="14"/>
      <c r="N284" s="12"/>
      <c r="O284" s="12"/>
      <c r="P284" s="13"/>
      <c r="Q284" s="9"/>
      <c r="R284" s="12"/>
      <c r="S284" s="12"/>
      <c r="T284" s="12"/>
      <c r="U284" s="17"/>
    </row>
    <row r="285" spans="1:21" x14ac:dyDescent="0.2">
      <c r="A285" s="9"/>
      <c r="B285" s="14"/>
      <c r="C285" s="10"/>
      <c r="D285" s="9"/>
      <c r="E285" s="9"/>
      <c r="F285" s="9"/>
      <c r="G285" s="11"/>
      <c r="H285" s="11"/>
      <c r="I285" s="61"/>
      <c r="J285" s="9"/>
      <c r="K285" s="11"/>
      <c r="L285" s="9"/>
      <c r="M285" s="14"/>
      <c r="N285" s="12"/>
      <c r="O285" s="12"/>
      <c r="P285" s="13"/>
      <c r="Q285" s="9"/>
      <c r="R285" s="12"/>
      <c r="S285" s="12"/>
      <c r="T285" s="12"/>
      <c r="U285" s="17"/>
    </row>
    <row r="286" spans="1:21" x14ac:dyDescent="0.2">
      <c r="A286" s="9"/>
      <c r="B286" s="14"/>
      <c r="C286" s="10"/>
      <c r="D286" s="9"/>
      <c r="E286" s="9"/>
      <c r="F286" s="9"/>
      <c r="G286" s="11"/>
      <c r="H286" s="11"/>
      <c r="I286" s="61"/>
      <c r="J286" s="9"/>
      <c r="K286" s="11"/>
      <c r="L286" s="9"/>
      <c r="M286" s="14"/>
      <c r="N286" s="12"/>
      <c r="O286" s="12"/>
      <c r="P286" s="13"/>
      <c r="Q286" s="9"/>
      <c r="R286" s="12"/>
      <c r="S286" s="12"/>
      <c r="T286" s="12"/>
      <c r="U286" s="17"/>
    </row>
    <row r="287" spans="1:21" x14ac:dyDescent="0.2">
      <c r="A287" s="9"/>
      <c r="B287" s="14"/>
      <c r="C287" s="10"/>
      <c r="D287" s="9"/>
      <c r="E287" s="9"/>
      <c r="F287" s="9"/>
      <c r="G287" s="11"/>
      <c r="H287" s="11"/>
      <c r="I287" s="61"/>
      <c r="J287" s="9"/>
      <c r="K287" s="11"/>
      <c r="L287" s="9"/>
      <c r="M287" s="14"/>
      <c r="N287" s="12"/>
      <c r="O287" s="12"/>
      <c r="P287" s="13"/>
      <c r="Q287" s="9"/>
      <c r="R287" s="12"/>
      <c r="S287" s="12"/>
      <c r="T287" s="12"/>
      <c r="U287" s="17"/>
    </row>
    <row r="288" spans="1:21" x14ac:dyDescent="0.2">
      <c r="A288" s="9"/>
      <c r="B288" s="14"/>
      <c r="C288" s="10"/>
      <c r="D288" s="9"/>
      <c r="E288" s="9"/>
      <c r="F288" s="9"/>
      <c r="G288" s="11"/>
      <c r="H288" s="11"/>
      <c r="I288" s="61"/>
      <c r="J288" s="9"/>
      <c r="K288" s="11"/>
      <c r="L288" s="9"/>
      <c r="M288" s="14"/>
      <c r="N288" s="12"/>
      <c r="O288" s="12"/>
      <c r="P288" s="13"/>
      <c r="Q288" s="9"/>
      <c r="R288" s="12"/>
      <c r="S288" s="12"/>
      <c r="T288" s="12"/>
      <c r="U288" s="17"/>
    </row>
    <row r="289" spans="1:21" x14ac:dyDescent="0.2">
      <c r="A289" s="9"/>
      <c r="B289" s="14"/>
      <c r="C289" s="10"/>
      <c r="D289" s="9"/>
      <c r="E289" s="9"/>
      <c r="F289" s="9"/>
      <c r="G289" s="11"/>
      <c r="H289" s="11"/>
      <c r="I289" s="61"/>
      <c r="J289" s="9"/>
      <c r="K289" s="11"/>
      <c r="L289" s="9"/>
      <c r="M289" s="14"/>
      <c r="N289" s="12"/>
      <c r="O289" s="12"/>
      <c r="P289" s="13"/>
      <c r="Q289" s="9"/>
      <c r="R289" s="12"/>
      <c r="S289" s="12"/>
      <c r="T289" s="12"/>
      <c r="U289" s="17"/>
    </row>
    <row r="290" spans="1:21" x14ac:dyDescent="0.2">
      <c r="A290" s="9"/>
      <c r="B290" s="14"/>
      <c r="C290" s="10"/>
      <c r="D290" s="9"/>
      <c r="E290" s="9"/>
      <c r="F290" s="9"/>
      <c r="G290" s="11"/>
      <c r="H290" s="11"/>
      <c r="I290" s="61"/>
      <c r="J290" s="9"/>
      <c r="K290" s="11"/>
      <c r="L290" s="9"/>
      <c r="M290" s="14"/>
      <c r="N290" s="12"/>
      <c r="O290" s="12"/>
      <c r="P290" s="13"/>
      <c r="Q290" s="9"/>
      <c r="R290" s="12"/>
      <c r="S290" s="12"/>
      <c r="T290" s="12"/>
      <c r="U290" s="17"/>
    </row>
    <row r="291" spans="1:21" x14ac:dyDescent="0.2">
      <c r="A291" s="9"/>
      <c r="B291" s="14"/>
      <c r="C291" s="10"/>
      <c r="D291" s="9"/>
      <c r="E291" s="9"/>
      <c r="F291" s="9"/>
      <c r="G291" s="11"/>
      <c r="H291" s="11"/>
      <c r="I291" s="61"/>
      <c r="J291" s="9"/>
      <c r="K291" s="11"/>
      <c r="L291" s="9"/>
      <c r="M291" s="14"/>
      <c r="N291" s="12"/>
      <c r="O291" s="12"/>
      <c r="P291" s="13"/>
      <c r="Q291" s="9"/>
      <c r="R291" s="12"/>
      <c r="S291" s="12"/>
      <c r="T291" s="12"/>
      <c r="U291" s="17"/>
    </row>
    <row r="292" spans="1:21" x14ac:dyDescent="0.2">
      <c r="A292" s="9"/>
      <c r="B292" s="14"/>
      <c r="C292" s="10"/>
      <c r="D292" s="9"/>
      <c r="E292" s="9"/>
      <c r="F292" s="9"/>
      <c r="G292" s="11"/>
      <c r="H292" s="11"/>
      <c r="I292" s="61"/>
      <c r="J292" s="9"/>
      <c r="K292" s="11"/>
      <c r="L292" s="9"/>
      <c r="M292" s="14"/>
      <c r="N292" s="12"/>
      <c r="O292" s="12"/>
      <c r="P292" s="13"/>
      <c r="Q292" s="9"/>
      <c r="R292" s="12"/>
      <c r="S292" s="12"/>
      <c r="T292" s="12"/>
      <c r="U292" s="17"/>
    </row>
    <row r="293" spans="1:21" x14ac:dyDescent="0.2">
      <c r="A293" s="9"/>
      <c r="B293" s="14"/>
      <c r="C293" s="10"/>
      <c r="D293" s="9"/>
      <c r="E293" s="9"/>
      <c r="F293" s="9"/>
      <c r="G293" s="11"/>
      <c r="H293" s="11"/>
      <c r="I293" s="61"/>
      <c r="J293" s="9"/>
      <c r="K293" s="11"/>
      <c r="L293" s="9"/>
      <c r="M293" s="14"/>
      <c r="N293" s="12"/>
      <c r="O293" s="12"/>
      <c r="P293" s="13"/>
      <c r="Q293" s="9"/>
      <c r="R293" s="12"/>
      <c r="S293" s="12"/>
      <c r="T293" s="12"/>
      <c r="U293" s="17"/>
    </row>
    <row r="294" spans="1:21" x14ac:dyDescent="0.2">
      <c r="A294" s="9"/>
      <c r="B294" s="14"/>
      <c r="C294" s="10"/>
      <c r="D294" s="9"/>
      <c r="E294" s="9"/>
      <c r="F294" s="9"/>
      <c r="G294" s="11"/>
      <c r="H294" s="11"/>
      <c r="I294" s="61"/>
      <c r="J294" s="9"/>
      <c r="K294" s="11"/>
      <c r="L294" s="9"/>
      <c r="M294" s="14"/>
      <c r="N294" s="12"/>
      <c r="O294" s="12"/>
      <c r="P294" s="13"/>
      <c r="Q294" s="9"/>
      <c r="R294" s="12"/>
      <c r="S294" s="12"/>
      <c r="T294" s="12"/>
      <c r="U294" s="17"/>
    </row>
    <row r="295" spans="1:21" x14ac:dyDescent="0.2">
      <c r="A295" s="9"/>
      <c r="B295" s="14"/>
      <c r="C295" s="10"/>
      <c r="D295" s="9"/>
      <c r="E295" s="9"/>
      <c r="F295" s="9"/>
      <c r="G295" s="11"/>
      <c r="H295" s="11"/>
      <c r="I295" s="61"/>
      <c r="J295" s="9"/>
      <c r="K295" s="11"/>
      <c r="L295" s="9"/>
      <c r="M295" s="14"/>
      <c r="N295" s="12"/>
      <c r="O295" s="12"/>
      <c r="P295" s="13"/>
      <c r="Q295" s="9"/>
      <c r="R295" s="12"/>
      <c r="S295" s="12"/>
      <c r="T295" s="12"/>
      <c r="U295" s="17"/>
    </row>
    <row r="296" spans="1:21" x14ac:dyDescent="0.2">
      <c r="A296" s="9"/>
      <c r="B296" s="14"/>
      <c r="C296" s="10"/>
      <c r="D296" s="9"/>
      <c r="E296" s="9"/>
      <c r="F296" s="9"/>
      <c r="G296" s="11"/>
      <c r="H296" s="11"/>
      <c r="I296" s="61"/>
      <c r="J296" s="9"/>
      <c r="K296" s="11"/>
      <c r="L296" s="9"/>
      <c r="M296" s="14"/>
      <c r="N296" s="12"/>
      <c r="O296" s="12"/>
      <c r="P296" s="13"/>
      <c r="Q296" s="9"/>
      <c r="R296" s="12"/>
      <c r="S296" s="12"/>
      <c r="T296" s="12"/>
      <c r="U296" s="17"/>
    </row>
    <row r="297" spans="1:21" x14ac:dyDescent="0.2">
      <c r="A297" s="9"/>
      <c r="B297" s="14"/>
      <c r="C297" s="10"/>
      <c r="D297" s="9"/>
      <c r="E297" s="9"/>
      <c r="F297" s="9"/>
      <c r="G297" s="11"/>
      <c r="H297" s="11"/>
      <c r="I297" s="61"/>
      <c r="J297" s="9"/>
      <c r="K297" s="11"/>
      <c r="L297" s="9"/>
      <c r="M297" s="14"/>
      <c r="N297" s="12"/>
      <c r="O297" s="12"/>
      <c r="P297" s="13"/>
      <c r="Q297" s="9"/>
      <c r="R297" s="12"/>
      <c r="S297" s="12"/>
      <c r="T297" s="12"/>
      <c r="U297" s="17"/>
    </row>
    <row r="298" spans="1:21" x14ac:dyDescent="0.2">
      <c r="A298" s="9"/>
      <c r="B298" s="14"/>
      <c r="C298" s="10"/>
      <c r="D298" s="9"/>
      <c r="E298" s="9"/>
      <c r="F298" s="9"/>
      <c r="G298" s="11"/>
      <c r="H298" s="11"/>
      <c r="I298" s="61"/>
      <c r="J298" s="9"/>
      <c r="K298" s="11"/>
      <c r="L298" s="9"/>
      <c r="M298" s="14"/>
      <c r="N298" s="12"/>
      <c r="O298" s="12"/>
      <c r="P298" s="13"/>
      <c r="Q298" s="9"/>
      <c r="R298" s="12"/>
      <c r="S298" s="12"/>
      <c r="T298" s="12"/>
      <c r="U298" s="17"/>
    </row>
    <row r="299" spans="1:21" x14ac:dyDescent="0.2">
      <c r="A299" s="9"/>
      <c r="B299" s="14"/>
      <c r="C299" s="10"/>
      <c r="D299" s="9"/>
      <c r="E299" s="9"/>
      <c r="F299" s="9"/>
      <c r="G299" s="11"/>
      <c r="H299" s="11"/>
      <c r="I299" s="61"/>
      <c r="J299" s="9"/>
      <c r="K299" s="11"/>
      <c r="L299" s="9"/>
      <c r="M299" s="14"/>
      <c r="N299" s="12"/>
      <c r="O299" s="12"/>
      <c r="P299" s="13"/>
      <c r="Q299" s="9"/>
      <c r="R299" s="12"/>
      <c r="S299" s="12"/>
      <c r="T299" s="12"/>
      <c r="U299" s="17"/>
    </row>
    <row r="300" spans="1:21" x14ac:dyDescent="0.2">
      <c r="A300" s="9"/>
      <c r="B300" s="14"/>
      <c r="C300" s="10"/>
      <c r="D300" s="9"/>
      <c r="E300" s="9"/>
      <c r="F300" s="9"/>
      <c r="G300" s="11"/>
      <c r="H300" s="11"/>
      <c r="I300" s="61"/>
      <c r="J300" s="9"/>
      <c r="K300" s="11"/>
      <c r="L300" s="9"/>
      <c r="M300" s="14"/>
      <c r="N300" s="12"/>
      <c r="O300" s="12"/>
      <c r="P300" s="13"/>
      <c r="Q300" s="9"/>
      <c r="R300" s="12"/>
      <c r="S300" s="12"/>
      <c r="T300" s="12"/>
      <c r="U300" s="17"/>
    </row>
    <row r="301" spans="1:21" x14ac:dyDescent="0.2">
      <c r="A301" s="9"/>
      <c r="B301" s="14"/>
      <c r="C301" s="10"/>
      <c r="D301" s="9"/>
      <c r="E301" s="9"/>
      <c r="F301" s="9"/>
      <c r="G301" s="11"/>
      <c r="H301" s="11"/>
      <c r="I301" s="61"/>
      <c r="J301" s="9"/>
      <c r="K301" s="11"/>
      <c r="L301" s="9"/>
      <c r="M301" s="14"/>
      <c r="N301" s="12"/>
      <c r="O301" s="12"/>
      <c r="P301" s="13"/>
      <c r="Q301" s="9"/>
      <c r="R301" s="12"/>
      <c r="S301" s="12"/>
      <c r="T301" s="12"/>
      <c r="U301" s="17"/>
    </row>
    <row r="302" spans="1:21" x14ac:dyDescent="0.2">
      <c r="A302" s="9"/>
      <c r="B302" s="14"/>
      <c r="C302" s="10"/>
      <c r="D302" s="9"/>
      <c r="E302" s="9"/>
      <c r="F302" s="9"/>
      <c r="G302" s="11"/>
      <c r="H302" s="11"/>
      <c r="I302" s="61"/>
      <c r="J302" s="9"/>
      <c r="K302" s="11"/>
      <c r="L302" s="9"/>
      <c r="M302" s="14"/>
      <c r="N302" s="12"/>
      <c r="O302" s="12"/>
      <c r="P302" s="13"/>
      <c r="Q302" s="9"/>
      <c r="R302" s="12"/>
      <c r="S302" s="12"/>
      <c r="T302" s="12"/>
      <c r="U302" s="17"/>
    </row>
    <row r="303" spans="1:21" x14ac:dyDescent="0.2">
      <c r="A303" s="9"/>
      <c r="B303" s="14"/>
      <c r="C303" s="10"/>
      <c r="D303" s="9"/>
      <c r="E303" s="9"/>
      <c r="F303" s="9"/>
      <c r="G303" s="11"/>
      <c r="H303" s="11"/>
      <c r="I303" s="61"/>
      <c r="J303" s="9"/>
      <c r="K303" s="11"/>
      <c r="L303" s="9"/>
      <c r="M303" s="14"/>
      <c r="N303" s="12"/>
      <c r="O303" s="12"/>
      <c r="P303" s="13"/>
      <c r="Q303" s="9"/>
      <c r="R303" s="12"/>
      <c r="S303" s="12"/>
      <c r="T303" s="12"/>
      <c r="U303" s="17"/>
    </row>
    <row r="304" spans="1:21" x14ac:dyDescent="0.2">
      <c r="A304" s="9"/>
      <c r="B304" s="14"/>
      <c r="C304" s="10"/>
      <c r="D304" s="9"/>
      <c r="E304" s="9"/>
      <c r="F304" s="9"/>
      <c r="G304" s="11"/>
      <c r="H304" s="11"/>
      <c r="I304" s="61"/>
      <c r="J304" s="9"/>
      <c r="K304" s="11"/>
      <c r="L304" s="9"/>
      <c r="M304" s="14"/>
      <c r="N304" s="12"/>
      <c r="O304" s="12"/>
      <c r="P304" s="13"/>
      <c r="Q304" s="9"/>
      <c r="R304" s="12"/>
      <c r="S304" s="12"/>
      <c r="T304" s="12"/>
      <c r="U304" s="17"/>
    </row>
    <row r="305" spans="1:21" x14ac:dyDescent="0.2">
      <c r="A305" s="9"/>
      <c r="B305" s="14"/>
      <c r="C305" s="10"/>
      <c r="D305" s="9"/>
      <c r="E305" s="9"/>
      <c r="F305" s="9"/>
      <c r="G305" s="11"/>
      <c r="H305" s="11"/>
      <c r="I305" s="61"/>
      <c r="J305" s="9"/>
      <c r="K305" s="11"/>
      <c r="L305" s="9"/>
      <c r="M305" s="14"/>
      <c r="N305" s="12"/>
      <c r="O305" s="12"/>
      <c r="P305" s="13"/>
      <c r="Q305" s="9"/>
      <c r="R305" s="12"/>
      <c r="S305" s="12"/>
      <c r="T305" s="12"/>
      <c r="U305" s="17"/>
    </row>
    <row r="306" spans="1:21" x14ac:dyDescent="0.2">
      <c r="A306" s="9"/>
      <c r="B306" s="14"/>
      <c r="C306" s="10"/>
      <c r="D306" s="9"/>
      <c r="E306" s="9"/>
      <c r="F306" s="9"/>
      <c r="G306" s="11"/>
      <c r="H306" s="11"/>
      <c r="I306" s="61"/>
      <c r="J306" s="9"/>
      <c r="K306" s="11"/>
      <c r="L306" s="9"/>
      <c r="M306" s="14"/>
      <c r="N306" s="12"/>
      <c r="O306" s="12"/>
      <c r="P306" s="13"/>
      <c r="Q306" s="9"/>
      <c r="R306" s="12"/>
      <c r="S306" s="12"/>
      <c r="T306" s="12"/>
      <c r="U306" s="17"/>
    </row>
    <row r="307" spans="1:21" x14ac:dyDescent="0.2">
      <c r="A307" s="9"/>
      <c r="B307" s="14"/>
      <c r="C307" s="10"/>
      <c r="D307" s="9"/>
      <c r="E307" s="9"/>
      <c r="F307" s="9"/>
      <c r="G307" s="11"/>
      <c r="H307" s="11"/>
      <c r="I307" s="61"/>
      <c r="J307" s="9"/>
      <c r="K307" s="11"/>
      <c r="L307" s="9"/>
      <c r="M307" s="14"/>
      <c r="N307" s="12"/>
      <c r="O307" s="12"/>
      <c r="P307" s="13"/>
      <c r="Q307" s="9"/>
      <c r="R307" s="12"/>
      <c r="S307" s="12"/>
      <c r="T307" s="12"/>
      <c r="U307" s="17"/>
    </row>
    <row r="308" spans="1:21" x14ac:dyDescent="0.2">
      <c r="A308" s="9"/>
      <c r="B308" s="14"/>
      <c r="C308" s="10"/>
      <c r="D308" s="9"/>
      <c r="E308" s="9"/>
      <c r="F308" s="9"/>
      <c r="G308" s="11"/>
      <c r="H308" s="11"/>
      <c r="I308" s="61"/>
      <c r="J308" s="9"/>
      <c r="K308" s="11"/>
      <c r="L308" s="9"/>
      <c r="M308" s="14"/>
      <c r="N308" s="12"/>
      <c r="O308" s="12"/>
      <c r="P308" s="13"/>
      <c r="Q308" s="9"/>
      <c r="R308" s="12"/>
      <c r="S308" s="12"/>
      <c r="T308" s="12"/>
      <c r="U308" s="17"/>
    </row>
    <row r="309" spans="1:21" x14ac:dyDescent="0.2">
      <c r="A309" s="9"/>
      <c r="B309" s="14"/>
      <c r="C309" s="10"/>
      <c r="D309" s="9"/>
      <c r="E309" s="9"/>
      <c r="F309" s="9"/>
      <c r="G309" s="11"/>
      <c r="H309" s="11"/>
      <c r="I309" s="61"/>
      <c r="J309" s="9"/>
      <c r="K309" s="11"/>
      <c r="L309" s="9"/>
      <c r="M309" s="14"/>
      <c r="N309" s="12"/>
      <c r="O309" s="12"/>
      <c r="P309" s="13"/>
      <c r="Q309" s="9"/>
      <c r="R309" s="12"/>
      <c r="S309" s="12"/>
      <c r="T309" s="12"/>
      <c r="U309" s="17"/>
    </row>
    <row r="310" spans="1:21" x14ac:dyDescent="0.2">
      <c r="A310" s="9"/>
      <c r="B310" s="14"/>
      <c r="C310" s="10"/>
      <c r="D310" s="9"/>
      <c r="E310" s="9"/>
      <c r="F310" s="9"/>
      <c r="G310" s="11"/>
      <c r="H310" s="11"/>
      <c r="I310" s="61"/>
      <c r="J310" s="9"/>
      <c r="K310" s="11"/>
      <c r="L310" s="9"/>
      <c r="M310" s="14"/>
      <c r="N310" s="12"/>
      <c r="O310" s="12"/>
      <c r="P310" s="13"/>
      <c r="Q310" s="9"/>
      <c r="R310" s="12"/>
      <c r="S310" s="12"/>
      <c r="T310" s="12"/>
      <c r="U310" s="17"/>
    </row>
    <row r="311" spans="1:21" x14ac:dyDescent="0.2">
      <c r="A311" s="9"/>
      <c r="B311" s="14"/>
      <c r="C311" s="10"/>
      <c r="D311" s="9"/>
      <c r="E311" s="9"/>
      <c r="F311" s="9"/>
      <c r="G311" s="11"/>
      <c r="H311" s="11"/>
      <c r="I311" s="61"/>
      <c r="J311" s="9"/>
      <c r="K311" s="11"/>
      <c r="L311" s="9"/>
      <c r="M311" s="14"/>
      <c r="N311" s="12"/>
      <c r="O311" s="12"/>
      <c r="P311" s="13"/>
      <c r="Q311" s="9"/>
      <c r="R311" s="12"/>
      <c r="S311" s="12"/>
      <c r="T311" s="12"/>
      <c r="U311" s="17"/>
    </row>
    <row r="312" spans="1:21" x14ac:dyDescent="0.2">
      <c r="A312" s="9"/>
      <c r="B312" s="14"/>
      <c r="C312" s="10"/>
      <c r="D312" s="9"/>
      <c r="E312" s="9"/>
      <c r="F312" s="9"/>
      <c r="G312" s="11"/>
      <c r="H312" s="11"/>
      <c r="I312" s="61"/>
      <c r="J312" s="9"/>
      <c r="K312" s="11"/>
      <c r="L312" s="9"/>
      <c r="M312" s="14"/>
      <c r="N312" s="12"/>
      <c r="O312" s="12"/>
      <c r="P312" s="13"/>
      <c r="Q312" s="9"/>
      <c r="R312" s="12"/>
      <c r="S312" s="12"/>
      <c r="T312" s="12"/>
      <c r="U312" s="17"/>
    </row>
    <row r="313" spans="1:21" x14ac:dyDescent="0.2">
      <c r="A313" s="9"/>
      <c r="B313" s="14"/>
      <c r="C313" s="10"/>
      <c r="D313" s="9"/>
      <c r="E313" s="9"/>
      <c r="F313" s="9"/>
      <c r="G313" s="11"/>
      <c r="H313" s="11"/>
      <c r="I313" s="61"/>
      <c r="J313" s="9"/>
      <c r="K313" s="11"/>
      <c r="L313" s="9"/>
      <c r="M313" s="14"/>
      <c r="N313" s="12"/>
      <c r="O313" s="12"/>
      <c r="P313" s="13"/>
      <c r="Q313" s="9"/>
      <c r="R313" s="12"/>
      <c r="S313" s="12"/>
      <c r="T313" s="12"/>
      <c r="U313" s="17"/>
    </row>
    <row r="314" spans="1:21" x14ac:dyDescent="0.2">
      <c r="A314" s="9"/>
      <c r="B314" s="14"/>
      <c r="C314" s="10"/>
      <c r="D314" s="9"/>
      <c r="E314" s="9"/>
      <c r="F314" s="9"/>
      <c r="G314" s="11"/>
      <c r="H314" s="11"/>
      <c r="I314" s="61"/>
      <c r="J314" s="9"/>
      <c r="K314" s="11"/>
      <c r="L314" s="9"/>
      <c r="M314" s="14"/>
      <c r="N314" s="12"/>
      <c r="O314" s="12"/>
      <c r="P314" s="13"/>
      <c r="Q314" s="9"/>
      <c r="R314" s="12"/>
      <c r="S314" s="12"/>
      <c r="T314" s="12"/>
      <c r="U314" s="17"/>
    </row>
    <row r="315" spans="1:21" x14ac:dyDescent="0.2">
      <c r="A315" s="9"/>
      <c r="B315" s="14"/>
      <c r="C315" s="10"/>
      <c r="D315" s="9"/>
      <c r="E315" s="9"/>
      <c r="F315" s="9"/>
      <c r="G315" s="11"/>
      <c r="H315" s="11"/>
      <c r="I315" s="61"/>
      <c r="J315" s="9"/>
      <c r="K315" s="11"/>
      <c r="L315" s="9"/>
      <c r="M315" s="14"/>
      <c r="N315" s="12"/>
      <c r="O315" s="12"/>
      <c r="P315" s="13"/>
      <c r="Q315" s="9"/>
      <c r="R315" s="12"/>
      <c r="S315" s="12"/>
      <c r="T315" s="12"/>
      <c r="U315" s="17"/>
    </row>
    <row r="316" spans="1:21" x14ac:dyDescent="0.2">
      <c r="A316" s="9"/>
      <c r="B316" s="14"/>
      <c r="C316" s="10"/>
      <c r="D316" s="9"/>
      <c r="E316" s="9"/>
      <c r="F316" s="9"/>
      <c r="G316" s="11"/>
      <c r="H316" s="11"/>
      <c r="I316" s="61"/>
      <c r="J316" s="9"/>
      <c r="K316" s="11"/>
      <c r="L316" s="9"/>
      <c r="M316" s="14"/>
      <c r="N316" s="12"/>
      <c r="O316" s="12"/>
      <c r="P316" s="13"/>
      <c r="Q316" s="9"/>
      <c r="R316" s="12"/>
      <c r="S316" s="12"/>
      <c r="T316" s="12"/>
      <c r="U316" s="17"/>
    </row>
    <row r="317" spans="1:21" x14ac:dyDescent="0.2">
      <c r="A317" s="9"/>
      <c r="B317" s="14"/>
      <c r="C317" s="10"/>
      <c r="D317" s="9"/>
      <c r="E317" s="9"/>
      <c r="F317" s="9"/>
      <c r="G317" s="11"/>
      <c r="H317" s="11"/>
      <c r="I317" s="61"/>
      <c r="J317" s="9"/>
      <c r="K317" s="11"/>
      <c r="L317" s="9"/>
      <c r="M317" s="14"/>
      <c r="N317" s="12"/>
      <c r="O317" s="12"/>
      <c r="P317" s="13"/>
      <c r="Q317" s="9"/>
      <c r="R317" s="12"/>
      <c r="S317" s="12"/>
      <c r="T317" s="12"/>
      <c r="U317" s="17"/>
    </row>
    <row r="318" spans="1:21" x14ac:dyDescent="0.2">
      <c r="A318" s="9"/>
      <c r="B318" s="14"/>
      <c r="C318" s="10"/>
      <c r="D318" s="9"/>
      <c r="E318" s="9"/>
      <c r="F318" s="9"/>
      <c r="G318" s="11"/>
      <c r="H318" s="11"/>
      <c r="I318" s="61"/>
      <c r="J318" s="9"/>
      <c r="K318" s="11"/>
      <c r="L318" s="9"/>
      <c r="M318" s="14"/>
      <c r="N318" s="12"/>
      <c r="O318" s="12"/>
      <c r="P318" s="13"/>
      <c r="Q318" s="9"/>
      <c r="R318" s="12"/>
      <c r="S318" s="12"/>
      <c r="T318" s="12"/>
      <c r="U318" s="17"/>
    </row>
    <row r="319" spans="1:21" x14ac:dyDescent="0.2">
      <c r="A319" s="9"/>
      <c r="B319" s="14"/>
      <c r="C319" s="10"/>
      <c r="D319" s="9"/>
      <c r="E319" s="9"/>
      <c r="F319" s="9"/>
      <c r="G319" s="11"/>
      <c r="H319" s="11"/>
      <c r="I319" s="61"/>
      <c r="J319" s="9"/>
      <c r="K319" s="11"/>
      <c r="L319" s="9"/>
      <c r="M319" s="14"/>
      <c r="N319" s="12"/>
      <c r="O319" s="12"/>
      <c r="P319" s="13"/>
      <c r="Q319" s="9"/>
      <c r="R319" s="12"/>
      <c r="S319" s="12"/>
      <c r="T319" s="12"/>
      <c r="U319" s="17"/>
    </row>
    <row r="320" spans="1:21" x14ac:dyDescent="0.2">
      <c r="A320" s="9"/>
      <c r="B320" s="14"/>
      <c r="C320" s="10"/>
      <c r="D320" s="9"/>
      <c r="E320" s="9"/>
      <c r="F320" s="9"/>
      <c r="G320" s="11"/>
      <c r="H320" s="11"/>
      <c r="I320" s="61"/>
      <c r="J320" s="9"/>
      <c r="K320" s="11"/>
      <c r="L320" s="9"/>
      <c r="M320" s="14"/>
      <c r="N320" s="12"/>
      <c r="O320" s="12"/>
      <c r="P320" s="13"/>
      <c r="Q320" s="9"/>
      <c r="R320" s="12"/>
      <c r="S320" s="12"/>
      <c r="T320" s="12"/>
      <c r="U320" s="17"/>
    </row>
    <row r="321" spans="1:21" x14ac:dyDescent="0.2">
      <c r="A321" s="9"/>
      <c r="B321" s="14"/>
      <c r="C321" s="10"/>
      <c r="D321" s="9"/>
      <c r="E321" s="9"/>
      <c r="F321" s="9"/>
      <c r="G321" s="11"/>
      <c r="H321" s="11"/>
      <c r="I321" s="61"/>
      <c r="J321" s="9"/>
      <c r="K321" s="11"/>
      <c r="L321" s="9"/>
      <c r="M321" s="14"/>
      <c r="N321" s="12"/>
      <c r="O321" s="12"/>
      <c r="P321" s="13"/>
      <c r="Q321" s="9"/>
      <c r="R321" s="12"/>
      <c r="S321" s="12"/>
      <c r="T321" s="12"/>
      <c r="U321" s="17"/>
    </row>
    <row r="322" spans="1:21" x14ac:dyDescent="0.2">
      <c r="A322" s="9"/>
      <c r="B322" s="14"/>
      <c r="C322" s="10"/>
      <c r="D322" s="9"/>
      <c r="E322" s="9"/>
      <c r="F322" s="9"/>
      <c r="G322" s="11"/>
      <c r="H322" s="11"/>
      <c r="I322" s="61"/>
      <c r="J322" s="9"/>
      <c r="K322" s="11"/>
      <c r="L322" s="9"/>
      <c r="M322" s="14"/>
      <c r="N322" s="12"/>
      <c r="O322" s="12"/>
      <c r="P322" s="13"/>
      <c r="Q322" s="9"/>
      <c r="R322" s="12"/>
      <c r="S322" s="12"/>
      <c r="T322" s="12"/>
      <c r="U322" s="17"/>
    </row>
    <row r="323" spans="1:21" x14ac:dyDescent="0.2">
      <c r="A323" s="9"/>
      <c r="B323" s="14"/>
      <c r="C323" s="10"/>
      <c r="D323" s="9"/>
      <c r="E323" s="9"/>
      <c r="F323" s="9"/>
      <c r="G323" s="11"/>
      <c r="H323" s="11"/>
      <c r="I323" s="61"/>
      <c r="J323" s="9"/>
      <c r="K323" s="11"/>
      <c r="L323" s="9"/>
      <c r="M323" s="14"/>
      <c r="N323" s="12"/>
      <c r="O323" s="12"/>
      <c r="P323" s="13"/>
      <c r="Q323" s="9"/>
      <c r="R323" s="12"/>
      <c r="S323" s="12"/>
      <c r="T323" s="12"/>
      <c r="U323" s="17"/>
    </row>
    <row r="324" spans="1:21" x14ac:dyDescent="0.2">
      <c r="A324" s="9"/>
      <c r="B324" s="14"/>
      <c r="C324" s="10"/>
      <c r="D324" s="9"/>
      <c r="E324" s="9"/>
      <c r="F324" s="9"/>
      <c r="G324" s="11"/>
      <c r="H324" s="11"/>
      <c r="I324" s="61"/>
      <c r="J324" s="9"/>
      <c r="K324" s="11"/>
      <c r="L324" s="9"/>
      <c r="M324" s="14"/>
      <c r="N324" s="12"/>
      <c r="O324" s="12"/>
      <c r="P324" s="13"/>
      <c r="Q324" s="9"/>
      <c r="R324" s="12"/>
      <c r="S324" s="12"/>
      <c r="T324" s="12"/>
      <c r="U324" s="17"/>
    </row>
    <row r="325" spans="1:21" x14ac:dyDescent="0.2">
      <c r="A325" s="9"/>
      <c r="B325" s="14"/>
      <c r="C325" s="10"/>
      <c r="D325" s="9"/>
      <c r="E325" s="9"/>
      <c r="F325" s="9"/>
      <c r="G325" s="11"/>
      <c r="H325" s="11"/>
      <c r="I325" s="61"/>
      <c r="J325" s="9"/>
      <c r="K325" s="11"/>
      <c r="L325" s="9"/>
      <c r="M325" s="14"/>
      <c r="N325" s="12"/>
      <c r="O325" s="12"/>
      <c r="P325" s="13"/>
      <c r="Q325" s="9"/>
      <c r="R325" s="12"/>
      <c r="S325" s="12"/>
      <c r="T325" s="12"/>
      <c r="U325" s="17"/>
    </row>
    <row r="326" spans="1:21" x14ac:dyDescent="0.2">
      <c r="A326" s="9"/>
      <c r="B326" s="14"/>
      <c r="C326" s="10"/>
      <c r="D326" s="9"/>
      <c r="E326" s="9"/>
      <c r="F326" s="9"/>
      <c r="G326" s="11"/>
      <c r="H326" s="11"/>
      <c r="I326" s="61"/>
      <c r="J326" s="9"/>
      <c r="K326" s="11"/>
      <c r="L326" s="9"/>
      <c r="M326" s="14"/>
      <c r="N326" s="12"/>
      <c r="O326" s="12"/>
      <c r="P326" s="13"/>
      <c r="Q326" s="9"/>
      <c r="R326" s="12"/>
      <c r="S326" s="12"/>
      <c r="T326" s="12"/>
      <c r="U326" s="17"/>
    </row>
    <row r="327" spans="1:21" x14ac:dyDescent="0.2">
      <c r="A327" s="9"/>
      <c r="B327" s="14"/>
      <c r="C327" s="10"/>
      <c r="D327" s="9"/>
      <c r="E327" s="9"/>
      <c r="F327" s="9"/>
      <c r="G327" s="11"/>
      <c r="H327" s="11"/>
      <c r="I327" s="61"/>
      <c r="J327" s="9"/>
      <c r="K327" s="11"/>
      <c r="L327" s="9"/>
      <c r="M327" s="14"/>
      <c r="N327" s="12"/>
      <c r="O327" s="12"/>
      <c r="P327" s="13"/>
      <c r="Q327" s="9"/>
      <c r="R327" s="12"/>
      <c r="S327" s="12"/>
      <c r="T327" s="12"/>
      <c r="U327" s="17"/>
    </row>
    <row r="328" spans="1:21" x14ac:dyDescent="0.2">
      <c r="A328" s="9"/>
      <c r="B328" s="14"/>
      <c r="C328" s="10"/>
      <c r="D328" s="9"/>
      <c r="E328" s="9"/>
      <c r="F328" s="9"/>
      <c r="G328" s="11"/>
      <c r="H328" s="11"/>
      <c r="I328" s="61"/>
      <c r="J328" s="9"/>
      <c r="K328" s="11"/>
      <c r="L328" s="9"/>
      <c r="M328" s="14"/>
      <c r="N328" s="12"/>
      <c r="O328" s="12"/>
      <c r="P328" s="13"/>
      <c r="Q328" s="9"/>
      <c r="R328" s="12"/>
      <c r="S328" s="12"/>
      <c r="T328" s="12"/>
      <c r="U328" s="17"/>
    </row>
    <row r="329" spans="1:21" x14ac:dyDescent="0.2">
      <c r="A329" s="9"/>
      <c r="B329" s="14"/>
      <c r="C329" s="10"/>
      <c r="D329" s="9"/>
      <c r="E329" s="9"/>
      <c r="F329" s="9"/>
      <c r="G329" s="11"/>
      <c r="H329" s="11"/>
      <c r="I329" s="61"/>
      <c r="J329" s="9"/>
      <c r="K329" s="11"/>
      <c r="L329" s="9"/>
      <c r="M329" s="14"/>
      <c r="N329" s="12"/>
      <c r="O329" s="12"/>
      <c r="P329" s="13"/>
      <c r="Q329" s="9"/>
      <c r="R329" s="12"/>
      <c r="S329" s="12"/>
      <c r="T329" s="12"/>
      <c r="U329" s="17"/>
    </row>
    <row r="330" spans="1:21" x14ac:dyDescent="0.2">
      <c r="A330" s="9"/>
      <c r="B330" s="14"/>
      <c r="C330" s="10"/>
      <c r="D330" s="9"/>
      <c r="E330" s="9"/>
      <c r="F330" s="9"/>
      <c r="G330" s="11"/>
      <c r="H330" s="11"/>
      <c r="I330" s="61"/>
      <c r="J330" s="9"/>
      <c r="K330" s="11"/>
      <c r="L330" s="9"/>
      <c r="M330" s="14"/>
      <c r="N330" s="12"/>
      <c r="O330" s="12"/>
      <c r="P330" s="13"/>
      <c r="Q330" s="9"/>
      <c r="R330" s="12"/>
      <c r="S330" s="12"/>
      <c r="T330" s="12"/>
      <c r="U330" s="17"/>
    </row>
    <row r="331" spans="1:21" x14ac:dyDescent="0.2">
      <c r="A331" s="9"/>
      <c r="B331" s="14"/>
      <c r="C331" s="10"/>
      <c r="D331" s="9"/>
      <c r="E331" s="9"/>
      <c r="F331" s="9"/>
      <c r="G331" s="11"/>
      <c r="H331" s="11"/>
      <c r="I331" s="61"/>
      <c r="J331" s="9"/>
      <c r="K331" s="11"/>
      <c r="L331" s="9"/>
      <c r="M331" s="14"/>
      <c r="N331" s="12"/>
      <c r="O331" s="12"/>
      <c r="P331" s="13"/>
      <c r="Q331" s="9"/>
      <c r="R331" s="12"/>
      <c r="S331" s="12"/>
      <c r="T331" s="12"/>
      <c r="U331" s="17"/>
    </row>
    <row r="332" spans="1:21" x14ac:dyDescent="0.2">
      <c r="A332" s="9"/>
      <c r="B332" s="14"/>
      <c r="C332" s="10"/>
      <c r="D332" s="9"/>
      <c r="E332" s="9"/>
      <c r="F332" s="9"/>
      <c r="G332" s="11"/>
      <c r="H332" s="11"/>
      <c r="I332" s="61"/>
      <c r="J332" s="9"/>
      <c r="K332" s="11"/>
      <c r="L332" s="9"/>
      <c r="M332" s="14"/>
      <c r="N332" s="12"/>
      <c r="O332" s="12"/>
      <c r="P332" s="13"/>
      <c r="Q332" s="9"/>
      <c r="R332" s="12"/>
      <c r="S332" s="12"/>
      <c r="T332" s="12"/>
      <c r="U332" s="17"/>
    </row>
    <row r="333" spans="1:21" x14ac:dyDescent="0.2">
      <c r="A333" s="9"/>
      <c r="B333" s="14"/>
      <c r="C333" s="10"/>
      <c r="D333" s="9"/>
      <c r="E333" s="9"/>
      <c r="F333" s="9"/>
      <c r="G333" s="11"/>
      <c r="H333" s="11"/>
      <c r="I333" s="61"/>
      <c r="J333" s="9"/>
      <c r="K333" s="11"/>
      <c r="L333" s="9"/>
      <c r="M333" s="14"/>
      <c r="N333" s="12"/>
      <c r="O333" s="12"/>
      <c r="P333" s="13"/>
      <c r="Q333" s="9"/>
      <c r="R333" s="12"/>
      <c r="S333" s="12"/>
      <c r="T333" s="12"/>
      <c r="U333" s="17"/>
    </row>
    <row r="334" spans="1:21" x14ac:dyDescent="0.2">
      <c r="A334" s="9"/>
      <c r="B334" s="14"/>
      <c r="C334" s="10"/>
      <c r="D334" s="9"/>
      <c r="E334" s="9"/>
      <c r="F334" s="9"/>
      <c r="G334" s="11"/>
      <c r="H334" s="11"/>
      <c r="I334" s="61"/>
      <c r="J334" s="9"/>
      <c r="K334" s="11"/>
      <c r="L334" s="9"/>
      <c r="M334" s="14"/>
      <c r="N334" s="12"/>
      <c r="O334" s="12"/>
      <c r="P334" s="13"/>
      <c r="Q334" s="9"/>
      <c r="R334" s="12"/>
      <c r="S334" s="12"/>
      <c r="T334" s="12"/>
      <c r="U334" s="17"/>
    </row>
    <row r="335" spans="1:21" x14ac:dyDescent="0.2">
      <c r="A335" s="9"/>
      <c r="B335" s="14"/>
      <c r="C335" s="10"/>
      <c r="D335" s="9"/>
      <c r="E335" s="9"/>
      <c r="F335" s="9"/>
      <c r="G335" s="11"/>
      <c r="H335" s="11"/>
      <c r="I335" s="61"/>
      <c r="J335" s="9"/>
      <c r="K335" s="11"/>
      <c r="L335" s="9"/>
      <c r="M335" s="14"/>
      <c r="N335" s="12"/>
      <c r="O335" s="12"/>
      <c r="P335" s="13"/>
      <c r="Q335" s="9"/>
      <c r="R335" s="12"/>
      <c r="S335" s="12"/>
      <c r="T335" s="12"/>
      <c r="U335" s="17"/>
    </row>
    <row r="336" spans="1:21" x14ac:dyDescent="0.2">
      <c r="A336" s="9"/>
      <c r="B336" s="14"/>
      <c r="C336" s="10"/>
      <c r="D336" s="9"/>
      <c r="E336" s="9"/>
      <c r="F336" s="9"/>
      <c r="G336" s="11"/>
      <c r="H336" s="11"/>
      <c r="I336" s="61"/>
      <c r="J336" s="9"/>
      <c r="K336" s="11"/>
      <c r="L336" s="9"/>
      <c r="M336" s="14"/>
      <c r="N336" s="12"/>
      <c r="O336" s="12"/>
      <c r="P336" s="13"/>
      <c r="Q336" s="9"/>
      <c r="R336" s="12"/>
      <c r="S336" s="12"/>
      <c r="T336" s="12"/>
      <c r="U336" s="17"/>
    </row>
    <row r="337" spans="1:21" x14ac:dyDescent="0.2">
      <c r="A337" s="9"/>
      <c r="B337" s="14"/>
      <c r="C337" s="10"/>
      <c r="D337" s="9"/>
      <c r="E337" s="9"/>
      <c r="F337" s="9"/>
      <c r="G337" s="11"/>
      <c r="H337" s="11"/>
      <c r="I337" s="61"/>
      <c r="J337" s="9"/>
      <c r="K337" s="11"/>
      <c r="L337" s="9"/>
      <c r="M337" s="14"/>
      <c r="N337" s="12"/>
      <c r="O337" s="12"/>
      <c r="P337" s="13"/>
      <c r="Q337" s="9"/>
      <c r="R337" s="12"/>
      <c r="S337" s="12"/>
      <c r="T337" s="12"/>
      <c r="U337" s="17"/>
    </row>
    <row r="338" spans="1:21" x14ac:dyDescent="0.2">
      <c r="A338" s="9"/>
      <c r="B338" s="14"/>
      <c r="C338" s="10"/>
      <c r="D338" s="9"/>
      <c r="E338" s="9"/>
      <c r="F338" s="9"/>
      <c r="G338" s="11"/>
      <c r="H338" s="11"/>
      <c r="I338" s="61"/>
      <c r="J338" s="9"/>
      <c r="K338" s="11"/>
      <c r="L338" s="9"/>
      <c r="M338" s="14"/>
      <c r="N338" s="12"/>
      <c r="O338" s="12"/>
      <c r="P338" s="13"/>
      <c r="Q338" s="9"/>
      <c r="R338" s="12"/>
      <c r="S338" s="12"/>
      <c r="T338" s="12"/>
      <c r="U338" s="17"/>
    </row>
    <row r="339" spans="1:21" x14ac:dyDescent="0.2">
      <c r="A339" s="9"/>
      <c r="B339" s="14"/>
      <c r="C339" s="10"/>
      <c r="D339" s="9"/>
      <c r="E339" s="9"/>
      <c r="F339" s="9"/>
      <c r="G339" s="11"/>
      <c r="H339" s="11"/>
      <c r="I339" s="61"/>
      <c r="J339" s="9"/>
      <c r="K339" s="11"/>
      <c r="L339" s="9"/>
      <c r="M339" s="14"/>
      <c r="N339" s="12"/>
      <c r="O339" s="12"/>
      <c r="P339" s="13"/>
      <c r="Q339" s="9"/>
      <c r="R339" s="12"/>
      <c r="S339" s="12"/>
      <c r="T339" s="12"/>
      <c r="U339" s="17"/>
    </row>
    <row r="340" spans="1:21" x14ac:dyDescent="0.2">
      <c r="A340" s="9"/>
      <c r="B340" s="14"/>
      <c r="C340" s="10"/>
      <c r="D340" s="9"/>
      <c r="E340" s="9"/>
      <c r="F340" s="9"/>
      <c r="G340" s="11"/>
      <c r="H340" s="11"/>
      <c r="I340" s="61"/>
      <c r="J340" s="9"/>
      <c r="K340" s="11"/>
      <c r="L340" s="9"/>
      <c r="M340" s="14"/>
      <c r="N340" s="12"/>
      <c r="O340" s="12"/>
      <c r="P340" s="13"/>
      <c r="Q340" s="9"/>
      <c r="R340" s="12"/>
      <c r="S340" s="12"/>
      <c r="T340" s="12"/>
      <c r="U340" s="17"/>
    </row>
    <row r="341" spans="1:21" x14ac:dyDescent="0.2">
      <c r="A341" s="9"/>
      <c r="B341" s="14"/>
      <c r="C341" s="10"/>
      <c r="D341" s="9"/>
      <c r="E341" s="9"/>
      <c r="F341" s="9"/>
      <c r="G341" s="11"/>
      <c r="H341" s="11"/>
      <c r="I341" s="61"/>
      <c r="J341" s="9"/>
      <c r="K341" s="11"/>
      <c r="L341" s="9"/>
      <c r="M341" s="14"/>
      <c r="N341" s="12"/>
      <c r="O341" s="12"/>
      <c r="P341" s="13"/>
      <c r="Q341" s="9"/>
      <c r="R341" s="12"/>
      <c r="S341" s="12"/>
      <c r="T341" s="12"/>
      <c r="U341" s="17"/>
    </row>
    <row r="342" spans="1:21" x14ac:dyDescent="0.2">
      <c r="A342" s="9"/>
      <c r="B342" s="14"/>
      <c r="C342" s="10"/>
      <c r="D342" s="9"/>
      <c r="E342" s="9"/>
      <c r="F342" s="9"/>
      <c r="G342" s="11"/>
      <c r="H342" s="11"/>
      <c r="I342" s="61"/>
      <c r="J342" s="9"/>
      <c r="K342" s="11"/>
      <c r="L342" s="9"/>
      <c r="M342" s="14"/>
      <c r="N342" s="12"/>
      <c r="O342" s="12"/>
      <c r="P342" s="13"/>
      <c r="Q342" s="9"/>
      <c r="R342" s="12"/>
      <c r="S342" s="12"/>
      <c r="T342" s="12"/>
      <c r="U342" s="17"/>
    </row>
    <row r="343" spans="1:21" x14ac:dyDescent="0.2">
      <c r="A343" s="9"/>
      <c r="B343" s="14"/>
      <c r="C343" s="10"/>
      <c r="D343" s="9"/>
      <c r="E343" s="9"/>
      <c r="F343" s="9"/>
      <c r="G343" s="11"/>
      <c r="H343" s="11"/>
      <c r="I343" s="61"/>
      <c r="J343" s="9"/>
      <c r="K343" s="11"/>
      <c r="L343" s="9"/>
      <c r="M343" s="14"/>
      <c r="N343" s="12"/>
      <c r="O343" s="12"/>
      <c r="P343" s="13"/>
      <c r="Q343" s="9"/>
      <c r="R343" s="12"/>
      <c r="S343" s="12"/>
      <c r="T343" s="12"/>
      <c r="U343" s="17"/>
    </row>
    <row r="344" spans="1:21" x14ac:dyDescent="0.2">
      <c r="A344" s="9"/>
      <c r="B344" s="14"/>
      <c r="C344" s="10"/>
      <c r="D344" s="9"/>
      <c r="E344" s="9"/>
      <c r="F344" s="9"/>
      <c r="G344" s="11"/>
      <c r="H344" s="11"/>
      <c r="I344" s="61"/>
      <c r="J344" s="9"/>
      <c r="K344" s="11"/>
      <c r="L344" s="9"/>
      <c r="M344" s="14"/>
      <c r="N344" s="12"/>
      <c r="O344" s="12"/>
      <c r="P344" s="13"/>
      <c r="Q344" s="9"/>
      <c r="R344" s="12"/>
      <c r="S344" s="12"/>
      <c r="T344" s="12"/>
      <c r="U344" s="17"/>
    </row>
    <row r="345" spans="1:21" x14ac:dyDescent="0.2">
      <c r="A345" s="9"/>
      <c r="B345" s="14"/>
      <c r="C345" s="10"/>
      <c r="D345" s="9"/>
      <c r="E345" s="9"/>
      <c r="F345" s="9"/>
      <c r="G345" s="11"/>
      <c r="H345" s="11"/>
      <c r="I345" s="61"/>
      <c r="J345" s="9"/>
      <c r="K345" s="11"/>
      <c r="L345" s="9"/>
      <c r="M345" s="14"/>
      <c r="N345" s="12"/>
      <c r="O345" s="12"/>
      <c r="P345" s="13"/>
      <c r="Q345" s="9"/>
      <c r="R345" s="12"/>
      <c r="S345" s="12"/>
      <c r="T345" s="12"/>
      <c r="U345" s="17"/>
    </row>
    <row r="346" spans="1:21" x14ac:dyDescent="0.2">
      <c r="A346" s="9"/>
      <c r="B346" s="14"/>
      <c r="C346" s="10"/>
      <c r="D346" s="9"/>
      <c r="E346" s="9"/>
      <c r="F346" s="9"/>
      <c r="G346" s="11"/>
      <c r="H346" s="11"/>
      <c r="I346" s="61"/>
      <c r="J346" s="9"/>
      <c r="K346" s="11"/>
      <c r="L346" s="9"/>
      <c r="M346" s="14"/>
      <c r="N346" s="12"/>
      <c r="O346" s="12"/>
      <c r="P346" s="13"/>
      <c r="Q346" s="9"/>
      <c r="R346" s="12"/>
      <c r="S346" s="12"/>
      <c r="T346" s="12"/>
      <c r="U346" s="17"/>
    </row>
    <row r="347" spans="1:21" x14ac:dyDescent="0.2">
      <c r="A347" s="9"/>
      <c r="B347" s="14"/>
      <c r="C347" s="10"/>
      <c r="D347" s="9"/>
      <c r="E347" s="9"/>
      <c r="F347" s="9"/>
      <c r="G347" s="11"/>
      <c r="H347" s="11"/>
      <c r="I347" s="61"/>
      <c r="J347" s="9"/>
      <c r="K347" s="11"/>
      <c r="L347" s="9"/>
      <c r="M347" s="14"/>
      <c r="N347" s="12"/>
      <c r="O347" s="12"/>
      <c r="P347" s="13"/>
      <c r="Q347" s="9"/>
      <c r="R347" s="12"/>
      <c r="S347" s="12"/>
      <c r="T347" s="12"/>
      <c r="U347" s="17"/>
    </row>
    <row r="348" spans="1:21" x14ac:dyDescent="0.2">
      <c r="A348" s="9"/>
      <c r="B348" s="14"/>
      <c r="C348" s="10"/>
      <c r="D348" s="9"/>
      <c r="E348" s="9"/>
      <c r="F348" s="9"/>
      <c r="G348" s="11"/>
      <c r="H348" s="11"/>
      <c r="I348" s="61"/>
      <c r="J348" s="9"/>
      <c r="K348" s="11"/>
      <c r="L348" s="9"/>
      <c r="M348" s="14"/>
      <c r="N348" s="12"/>
      <c r="O348" s="12"/>
      <c r="P348" s="13"/>
      <c r="Q348" s="9"/>
      <c r="R348" s="12"/>
      <c r="S348" s="12"/>
      <c r="T348" s="12"/>
      <c r="U348" s="17"/>
    </row>
    <row r="349" spans="1:21" x14ac:dyDescent="0.2">
      <c r="A349" s="9"/>
      <c r="B349" s="14"/>
      <c r="C349" s="10"/>
      <c r="D349" s="9"/>
      <c r="E349" s="9"/>
      <c r="F349" s="9"/>
      <c r="G349" s="11"/>
      <c r="H349" s="11"/>
      <c r="I349" s="61"/>
      <c r="J349" s="9"/>
      <c r="K349" s="11"/>
      <c r="L349" s="9"/>
      <c r="M349" s="14"/>
      <c r="N349" s="12"/>
      <c r="O349" s="12"/>
      <c r="P349" s="13"/>
      <c r="Q349" s="9"/>
      <c r="R349" s="12"/>
      <c r="S349" s="12"/>
      <c r="T349" s="12"/>
      <c r="U349" s="17"/>
    </row>
    <row r="350" spans="1:21" x14ac:dyDescent="0.2">
      <c r="A350" s="9"/>
      <c r="B350" s="14"/>
      <c r="C350" s="10"/>
      <c r="D350" s="9"/>
      <c r="E350" s="9"/>
      <c r="F350" s="9"/>
      <c r="G350" s="11"/>
      <c r="H350" s="11"/>
      <c r="I350" s="61"/>
      <c r="J350" s="9"/>
      <c r="K350" s="11"/>
      <c r="L350" s="9"/>
      <c r="M350" s="14"/>
      <c r="N350" s="12"/>
      <c r="O350" s="12"/>
      <c r="P350" s="13"/>
      <c r="Q350" s="9"/>
      <c r="R350" s="12"/>
      <c r="S350" s="12"/>
      <c r="T350" s="12"/>
      <c r="U350" s="17"/>
    </row>
    <row r="351" spans="1:21" x14ac:dyDescent="0.2">
      <c r="A351" s="9"/>
      <c r="B351" s="14"/>
      <c r="C351" s="10"/>
      <c r="D351" s="9"/>
      <c r="E351" s="9"/>
      <c r="F351" s="9"/>
      <c r="G351" s="11"/>
      <c r="H351" s="11"/>
      <c r="I351" s="61"/>
      <c r="J351" s="9"/>
      <c r="K351" s="11"/>
      <c r="L351" s="9"/>
      <c r="M351" s="14"/>
      <c r="N351" s="12"/>
      <c r="O351" s="12"/>
      <c r="P351" s="13"/>
      <c r="Q351" s="9"/>
      <c r="R351" s="12"/>
      <c r="S351" s="12"/>
      <c r="T351" s="12"/>
      <c r="U351" s="17"/>
    </row>
    <row r="352" spans="1:21" x14ac:dyDescent="0.2">
      <c r="A352" s="9"/>
      <c r="B352" s="14"/>
      <c r="C352" s="10"/>
      <c r="D352" s="9"/>
      <c r="E352" s="9"/>
      <c r="F352" s="9"/>
      <c r="G352" s="11"/>
      <c r="H352" s="11"/>
      <c r="I352" s="61"/>
      <c r="J352" s="9"/>
      <c r="K352" s="11"/>
      <c r="L352" s="9"/>
      <c r="M352" s="14"/>
      <c r="N352" s="12"/>
      <c r="O352" s="12"/>
      <c r="P352" s="13"/>
      <c r="Q352" s="9"/>
      <c r="R352" s="12"/>
      <c r="S352" s="12"/>
      <c r="T352" s="12"/>
      <c r="U352" s="17"/>
    </row>
    <row r="353" spans="1:21" x14ac:dyDescent="0.2">
      <c r="A353" s="9"/>
      <c r="B353" s="14"/>
      <c r="C353" s="10"/>
      <c r="D353" s="9"/>
      <c r="E353" s="9"/>
      <c r="F353" s="9"/>
      <c r="G353" s="11"/>
      <c r="H353" s="11"/>
      <c r="I353" s="61"/>
      <c r="J353" s="9"/>
      <c r="K353" s="11"/>
      <c r="L353" s="9"/>
      <c r="M353" s="14"/>
      <c r="N353" s="12"/>
      <c r="O353" s="12"/>
      <c r="P353" s="13"/>
      <c r="Q353" s="9"/>
      <c r="R353" s="12"/>
      <c r="S353" s="12"/>
      <c r="T353" s="12"/>
      <c r="U353" s="17"/>
    </row>
    <row r="354" spans="1:21" x14ac:dyDescent="0.2">
      <c r="A354" s="9"/>
      <c r="B354" s="14"/>
      <c r="C354" s="10"/>
      <c r="D354" s="9"/>
      <c r="E354" s="9"/>
      <c r="F354" s="9"/>
      <c r="G354" s="11"/>
      <c r="H354" s="11"/>
      <c r="I354" s="61"/>
      <c r="J354" s="9"/>
      <c r="K354" s="11"/>
      <c r="L354" s="9"/>
      <c r="M354" s="14"/>
      <c r="N354" s="12"/>
      <c r="O354" s="12"/>
      <c r="P354" s="13"/>
      <c r="Q354" s="9"/>
      <c r="R354" s="12"/>
      <c r="S354" s="12"/>
      <c r="T354" s="12"/>
      <c r="U354" s="17"/>
    </row>
    <row r="355" spans="1:21" x14ac:dyDescent="0.2">
      <c r="A355" s="9"/>
      <c r="B355" s="14"/>
      <c r="C355" s="10"/>
      <c r="D355" s="9"/>
      <c r="E355" s="9"/>
      <c r="F355" s="9"/>
      <c r="G355" s="11"/>
      <c r="H355" s="11"/>
      <c r="I355" s="61"/>
      <c r="J355" s="9"/>
      <c r="K355" s="11"/>
      <c r="L355" s="9"/>
      <c r="M355" s="14"/>
      <c r="N355" s="12"/>
      <c r="O355" s="12"/>
      <c r="P355" s="13"/>
      <c r="Q355" s="9"/>
      <c r="R355" s="12"/>
      <c r="S355" s="12"/>
      <c r="T355" s="12"/>
      <c r="U355" s="17"/>
    </row>
    <row r="356" spans="1:21" x14ac:dyDescent="0.2">
      <c r="A356" s="9"/>
      <c r="B356" s="14"/>
      <c r="C356" s="10"/>
      <c r="D356" s="9"/>
      <c r="E356" s="9"/>
      <c r="F356" s="9"/>
      <c r="G356" s="11"/>
      <c r="H356" s="11"/>
      <c r="I356" s="61"/>
      <c r="J356" s="9"/>
      <c r="K356" s="11"/>
      <c r="L356" s="9"/>
      <c r="M356" s="14"/>
      <c r="N356" s="12"/>
      <c r="O356" s="12"/>
      <c r="P356" s="13"/>
      <c r="Q356" s="9"/>
      <c r="R356" s="12"/>
      <c r="S356" s="12"/>
      <c r="T356" s="12"/>
      <c r="U356" s="17"/>
    </row>
    <row r="357" spans="1:21" x14ac:dyDescent="0.2">
      <c r="A357" s="9"/>
      <c r="B357" s="14"/>
      <c r="C357" s="10"/>
      <c r="D357" s="9"/>
      <c r="E357" s="9"/>
      <c r="F357" s="9"/>
      <c r="G357" s="11"/>
      <c r="H357" s="11"/>
      <c r="I357" s="61"/>
      <c r="J357" s="9"/>
      <c r="K357" s="11"/>
      <c r="L357" s="9"/>
      <c r="M357" s="14"/>
      <c r="N357" s="12"/>
      <c r="O357" s="12"/>
      <c r="P357" s="13"/>
      <c r="Q357" s="9"/>
      <c r="R357" s="12"/>
      <c r="S357" s="12"/>
      <c r="T357" s="12"/>
      <c r="U357" s="17"/>
    </row>
    <row r="358" spans="1:21" x14ac:dyDescent="0.2">
      <c r="A358" s="9"/>
      <c r="B358" s="14"/>
      <c r="C358" s="10"/>
      <c r="D358" s="9"/>
      <c r="E358" s="9"/>
      <c r="F358" s="9"/>
      <c r="G358" s="11"/>
      <c r="H358" s="11"/>
      <c r="I358" s="61"/>
      <c r="J358" s="9"/>
      <c r="K358" s="11"/>
      <c r="L358" s="9"/>
      <c r="M358" s="14"/>
      <c r="N358" s="12"/>
      <c r="O358" s="12"/>
      <c r="P358" s="13"/>
      <c r="Q358" s="9"/>
      <c r="R358" s="12"/>
      <c r="S358" s="12"/>
      <c r="T358" s="12"/>
      <c r="U358" s="17"/>
    </row>
    <row r="359" spans="1:21" x14ac:dyDescent="0.2">
      <c r="A359" s="9"/>
      <c r="B359" s="14"/>
      <c r="C359" s="10"/>
      <c r="D359" s="9"/>
      <c r="E359" s="9"/>
      <c r="F359" s="9"/>
      <c r="G359" s="11"/>
      <c r="H359" s="11"/>
      <c r="I359" s="61"/>
      <c r="J359" s="9"/>
      <c r="K359" s="11"/>
      <c r="L359" s="9"/>
      <c r="M359" s="14"/>
      <c r="N359" s="12"/>
      <c r="O359" s="12"/>
      <c r="P359" s="13"/>
      <c r="Q359" s="9"/>
      <c r="R359" s="12"/>
      <c r="S359" s="12"/>
      <c r="T359" s="12"/>
      <c r="U359" s="17"/>
    </row>
    <row r="360" spans="1:21" x14ac:dyDescent="0.2">
      <c r="A360" s="9"/>
      <c r="B360" s="14"/>
      <c r="C360" s="10"/>
      <c r="D360" s="9"/>
      <c r="E360" s="9"/>
      <c r="F360" s="9"/>
      <c r="G360" s="11"/>
      <c r="H360" s="11"/>
      <c r="I360" s="61"/>
      <c r="J360" s="9"/>
      <c r="K360" s="11"/>
      <c r="L360" s="9"/>
      <c r="M360" s="14"/>
      <c r="N360" s="12"/>
      <c r="O360" s="12"/>
      <c r="P360" s="13"/>
      <c r="Q360" s="9"/>
      <c r="R360" s="12"/>
      <c r="S360" s="12"/>
      <c r="T360" s="12"/>
      <c r="U360" s="17"/>
    </row>
    <row r="361" spans="1:21" x14ac:dyDescent="0.2">
      <c r="A361" s="9"/>
      <c r="B361" s="14"/>
      <c r="C361" s="10"/>
      <c r="D361" s="9"/>
      <c r="E361" s="9"/>
      <c r="F361" s="9"/>
      <c r="G361" s="11"/>
      <c r="H361" s="11"/>
      <c r="I361" s="61"/>
      <c r="J361" s="9"/>
      <c r="K361" s="11"/>
      <c r="L361" s="9"/>
      <c r="M361" s="14"/>
      <c r="N361" s="12"/>
      <c r="O361" s="12"/>
      <c r="P361" s="13"/>
      <c r="Q361" s="9"/>
      <c r="R361" s="12"/>
      <c r="S361" s="12"/>
      <c r="T361" s="12"/>
      <c r="U361" s="17"/>
    </row>
    <row r="362" spans="1:21" x14ac:dyDescent="0.2">
      <c r="A362" s="9"/>
      <c r="B362" s="14"/>
      <c r="C362" s="10"/>
      <c r="D362" s="9"/>
      <c r="E362" s="9"/>
      <c r="F362" s="9"/>
      <c r="G362" s="11"/>
      <c r="H362" s="11"/>
      <c r="I362" s="61"/>
      <c r="J362" s="9"/>
      <c r="K362" s="11"/>
      <c r="L362" s="9"/>
      <c r="M362" s="14"/>
      <c r="N362" s="12"/>
      <c r="O362" s="12"/>
      <c r="P362" s="13"/>
      <c r="Q362" s="9"/>
      <c r="R362" s="12"/>
      <c r="S362" s="12"/>
      <c r="T362" s="12"/>
      <c r="U362" s="17"/>
    </row>
    <row r="363" spans="1:21" x14ac:dyDescent="0.2">
      <c r="A363" s="9"/>
      <c r="B363" s="14"/>
      <c r="C363" s="10"/>
      <c r="D363" s="9"/>
      <c r="E363" s="9"/>
      <c r="F363" s="9"/>
      <c r="G363" s="11"/>
      <c r="H363" s="11"/>
      <c r="I363" s="61"/>
      <c r="J363" s="9"/>
      <c r="K363" s="11"/>
      <c r="L363" s="9"/>
      <c r="M363" s="14"/>
      <c r="N363" s="12"/>
      <c r="O363" s="12"/>
      <c r="P363" s="13"/>
      <c r="Q363" s="9"/>
      <c r="R363" s="12"/>
      <c r="S363" s="12"/>
      <c r="T363" s="12"/>
      <c r="U363" s="17"/>
    </row>
    <row r="364" spans="1:21" x14ac:dyDescent="0.2">
      <c r="A364" s="9"/>
      <c r="B364" s="14"/>
      <c r="C364" s="10"/>
      <c r="D364" s="9"/>
      <c r="E364" s="9"/>
      <c r="F364" s="9"/>
      <c r="G364" s="11"/>
      <c r="H364" s="11"/>
      <c r="I364" s="61"/>
      <c r="J364" s="9"/>
      <c r="K364" s="11"/>
      <c r="L364" s="9"/>
      <c r="M364" s="14"/>
      <c r="N364" s="12"/>
      <c r="O364" s="12"/>
      <c r="P364" s="13"/>
      <c r="Q364" s="9"/>
      <c r="R364" s="12"/>
      <c r="S364" s="12"/>
      <c r="T364" s="12"/>
      <c r="U364" s="17"/>
    </row>
    <row r="365" spans="1:21" x14ac:dyDescent="0.2">
      <c r="A365" s="9"/>
      <c r="B365" s="14"/>
      <c r="C365" s="10"/>
      <c r="D365" s="9"/>
      <c r="E365" s="9"/>
      <c r="F365" s="9"/>
      <c r="G365" s="11"/>
      <c r="H365" s="11"/>
      <c r="I365" s="61"/>
      <c r="J365" s="9"/>
      <c r="K365" s="11"/>
      <c r="L365" s="9"/>
      <c r="M365" s="14"/>
      <c r="N365" s="12"/>
      <c r="O365" s="12"/>
      <c r="P365" s="13"/>
      <c r="Q365" s="9"/>
      <c r="R365" s="12"/>
      <c r="S365" s="12"/>
      <c r="T365" s="12"/>
      <c r="U365" s="17"/>
    </row>
    <row r="366" spans="1:21" x14ac:dyDescent="0.2">
      <c r="A366" s="9"/>
      <c r="B366" s="14"/>
      <c r="C366" s="10"/>
      <c r="D366" s="9"/>
      <c r="E366" s="9"/>
      <c r="F366" s="9"/>
      <c r="G366" s="11"/>
      <c r="H366" s="11"/>
      <c r="I366" s="61"/>
      <c r="J366" s="9"/>
      <c r="K366" s="11"/>
      <c r="L366" s="9"/>
      <c r="M366" s="14"/>
      <c r="N366" s="12"/>
      <c r="O366" s="12"/>
      <c r="P366" s="13"/>
      <c r="Q366" s="9"/>
      <c r="R366" s="12"/>
      <c r="S366" s="12"/>
      <c r="T366" s="12"/>
      <c r="U366" s="17"/>
    </row>
    <row r="367" spans="1:21" x14ac:dyDescent="0.2">
      <c r="A367" s="9"/>
      <c r="B367" s="14"/>
      <c r="C367" s="10"/>
      <c r="D367" s="9"/>
      <c r="E367" s="9"/>
      <c r="F367" s="9"/>
      <c r="G367" s="11"/>
      <c r="H367" s="11"/>
      <c r="I367" s="61"/>
      <c r="J367" s="9"/>
      <c r="K367" s="11"/>
      <c r="L367" s="9"/>
      <c r="M367" s="14"/>
      <c r="N367" s="12"/>
      <c r="O367" s="12"/>
      <c r="P367" s="13"/>
      <c r="Q367" s="9"/>
      <c r="R367" s="12"/>
      <c r="S367" s="12"/>
      <c r="T367" s="12"/>
      <c r="U367" s="17"/>
    </row>
    <row r="368" spans="1:21" x14ac:dyDescent="0.2">
      <c r="A368" s="9"/>
      <c r="B368" s="14"/>
      <c r="C368" s="10"/>
      <c r="D368" s="9"/>
      <c r="E368" s="9"/>
      <c r="F368" s="9"/>
      <c r="G368" s="11"/>
      <c r="H368" s="11"/>
      <c r="I368" s="61"/>
      <c r="J368" s="9"/>
      <c r="K368" s="11"/>
      <c r="L368" s="9"/>
      <c r="M368" s="14"/>
      <c r="N368" s="12"/>
      <c r="O368" s="12"/>
      <c r="P368" s="13"/>
      <c r="Q368" s="9"/>
      <c r="R368" s="12"/>
      <c r="S368" s="12"/>
      <c r="T368" s="12"/>
      <c r="U368" s="17"/>
    </row>
    <row r="369" spans="1:21" x14ac:dyDescent="0.2">
      <c r="A369" s="9"/>
      <c r="B369" s="14"/>
      <c r="C369" s="10"/>
      <c r="D369" s="9"/>
      <c r="E369" s="9"/>
      <c r="F369" s="9"/>
      <c r="G369" s="11"/>
      <c r="H369" s="11"/>
      <c r="I369" s="61"/>
      <c r="J369" s="9"/>
      <c r="K369" s="11"/>
      <c r="L369" s="9"/>
      <c r="M369" s="14"/>
      <c r="N369" s="12"/>
      <c r="O369" s="12"/>
      <c r="P369" s="13"/>
      <c r="Q369" s="9"/>
      <c r="R369" s="12"/>
      <c r="S369" s="12"/>
      <c r="T369" s="12"/>
      <c r="U369" s="17"/>
    </row>
    <row r="370" spans="1:21" x14ac:dyDescent="0.2">
      <c r="A370" s="9"/>
      <c r="B370" s="14"/>
      <c r="C370" s="10"/>
      <c r="D370" s="9"/>
      <c r="E370" s="9"/>
      <c r="F370" s="9"/>
      <c r="G370" s="11"/>
      <c r="H370" s="11"/>
      <c r="I370" s="61"/>
      <c r="J370" s="9"/>
      <c r="K370" s="11"/>
      <c r="L370" s="9"/>
      <c r="M370" s="14"/>
      <c r="N370" s="12"/>
      <c r="O370" s="12"/>
      <c r="P370" s="13"/>
      <c r="Q370" s="9"/>
      <c r="R370" s="12"/>
      <c r="S370" s="12"/>
      <c r="T370" s="12"/>
      <c r="U370" s="17"/>
    </row>
    <row r="371" spans="1:21" x14ac:dyDescent="0.2">
      <c r="A371" s="9"/>
      <c r="B371" s="14"/>
      <c r="C371" s="10"/>
      <c r="D371" s="9"/>
      <c r="E371" s="9"/>
      <c r="F371" s="9"/>
      <c r="G371" s="11"/>
      <c r="H371" s="11"/>
      <c r="I371" s="61"/>
      <c r="J371" s="9"/>
      <c r="K371" s="11"/>
      <c r="L371" s="9"/>
      <c r="M371" s="14"/>
      <c r="N371" s="12"/>
      <c r="O371" s="12"/>
      <c r="P371" s="13"/>
      <c r="Q371" s="9"/>
      <c r="R371" s="12"/>
      <c r="S371" s="12"/>
      <c r="T371" s="12"/>
      <c r="U371" s="17"/>
    </row>
    <row r="372" spans="1:21" x14ac:dyDescent="0.2">
      <c r="A372" s="9"/>
      <c r="B372" s="14"/>
      <c r="C372" s="10"/>
      <c r="D372" s="9"/>
      <c r="E372" s="9"/>
      <c r="F372" s="9"/>
      <c r="G372" s="11"/>
      <c r="H372" s="11"/>
      <c r="I372" s="61"/>
      <c r="J372" s="9"/>
      <c r="K372" s="11"/>
      <c r="L372" s="9"/>
      <c r="M372" s="14"/>
      <c r="N372" s="12"/>
      <c r="O372" s="12"/>
      <c r="P372" s="13"/>
      <c r="Q372" s="9"/>
      <c r="R372" s="12"/>
      <c r="S372" s="12"/>
      <c r="T372" s="12"/>
      <c r="U372" s="17"/>
    </row>
    <row r="373" spans="1:21" x14ac:dyDescent="0.2">
      <c r="A373" s="9"/>
      <c r="B373" s="14"/>
      <c r="C373" s="10"/>
      <c r="D373" s="9"/>
      <c r="E373" s="9"/>
      <c r="F373" s="9"/>
      <c r="G373" s="11"/>
      <c r="H373" s="11"/>
      <c r="I373" s="61"/>
      <c r="J373" s="9"/>
      <c r="K373" s="11"/>
      <c r="L373" s="9"/>
      <c r="M373" s="14"/>
      <c r="N373" s="12"/>
      <c r="O373" s="12"/>
      <c r="P373" s="13"/>
      <c r="Q373" s="9"/>
      <c r="R373" s="12"/>
      <c r="S373" s="12"/>
      <c r="T373" s="12"/>
      <c r="U373" s="17"/>
    </row>
    <row r="374" spans="1:21" x14ac:dyDescent="0.2">
      <c r="A374" s="9"/>
      <c r="B374" s="14"/>
      <c r="C374" s="10"/>
      <c r="D374" s="9"/>
      <c r="E374" s="9"/>
      <c r="F374" s="9"/>
      <c r="G374" s="11"/>
      <c r="H374" s="11"/>
      <c r="I374" s="61"/>
      <c r="J374" s="9"/>
      <c r="K374" s="11"/>
      <c r="L374" s="9"/>
      <c r="M374" s="14"/>
      <c r="N374" s="12"/>
      <c r="O374" s="12"/>
      <c r="P374" s="13"/>
      <c r="Q374" s="9"/>
      <c r="R374" s="12"/>
      <c r="S374" s="12"/>
      <c r="T374" s="12"/>
      <c r="U374" s="17"/>
    </row>
    <row r="375" spans="1:21" x14ac:dyDescent="0.2">
      <c r="A375" s="9"/>
      <c r="B375" s="14"/>
      <c r="C375" s="10"/>
      <c r="D375" s="9"/>
      <c r="E375" s="9"/>
      <c r="F375" s="9"/>
      <c r="G375" s="11"/>
      <c r="H375" s="11"/>
      <c r="I375" s="61"/>
      <c r="J375" s="9"/>
      <c r="K375" s="11"/>
      <c r="L375" s="9"/>
      <c r="M375" s="14"/>
      <c r="N375" s="12"/>
      <c r="O375" s="12"/>
      <c r="P375" s="13"/>
      <c r="Q375" s="9"/>
      <c r="R375" s="12"/>
      <c r="S375" s="12"/>
      <c r="T375" s="12"/>
      <c r="U375" s="17"/>
    </row>
    <row r="376" spans="1:21" x14ac:dyDescent="0.2">
      <c r="A376" s="9"/>
      <c r="B376" s="14"/>
      <c r="C376" s="10"/>
      <c r="D376" s="9"/>
      <c r="E376" s="9"/>
      <c r="F376" s="9"/>
      <c r="G376" s="11"/>
      <c r="H376" s="11"/>
      <c r="I376" s="61"/>
      <c r="J376" s="9"/>
      <c r="K376" s="11"/>
      <c r="L376" s="9"/>
      <c r="M376" s="14"/>
      <c r="N376" s="12"/>
      <c r="O376" s="12"/>
      <c r="P376" s="13"/>
      <c r="Q376" s="9"/>
      <c r="R376" s="12"/>
      <c r="S376" s="12"/>
      <c r="T376" s="12"/>
      <c r="U376" s="17"/>
    </row>
    <row r="377" spans="1:21" x14ac:dyDescent="0.2">
      <c r="A377" s="9"/>
      <c r="B377" s="14"/>
      <c r="C377" s="10"/>
      <c r="D377" s="9"/>
      <c r="E377" s="9"/>
      <c r="F377" s="9"/>
      <c r="G377" s="11"/>
      <c r="H377" s="11"/>
      <c r="I377" s="61"/>
      <c r="J377" s="9"/>
      <c r="K377" s="11"/>
      <c r="L377" s="9"/>
      <c r="M377" s="14"/>
      <c r="N377" s="12"/>
      <c r="O377" s="12"/>
      <c r="P377" s="13"/>
      <c r="Q377" s="9"/>
      <c r="R377" s="12"/>
      <c r="S377" s="12"/>
      <c r="T377" s="12"/>
      <c r="U377" s="17"/>
    </row>
    <row r="378" spans="1:21" x14ac:dyDescent="0.2">
      <c r="A378" s="9"/>
      <c r="B378" s="14"/>
      <c r="C378" s="10"/>
      <c r="D378" s="9"/>
      <c r="E378" s="9"/>
      <c r="F378" s="9"/>
      <c r="G378" s="11"/>
      <c r="H378" s="11"/>
      <c r="I378" s="61"/>
      <c r="J378" s="9"/>
      <c r="K378" s="11"/>
      <c r="L378" s="9"/>
      <c r="M378" s="14"/>
      <c r="N378" s="12"/>
      <c r="O378" s="12"/>
      <c r="P378" s="13"/>
      <c r="Q378" s="9"/>
      <c r="R378" s="12"/>
      <c r="S378" s="12"/>
      <c r="T378" s="12"/>
      <c r="U378" s="17"/>
    </row>
    <row r="379" spans="1:21" x14ac:dyDescent="0.2">
      <c r="A379" s="9"/>
      <c r="B379" s="14"/>
      <c r="C379" s="10"/>
      <c r="D379" s="9"/>
      <c r="E379" s="9"/>
      <c r="F379" s="9"/>
      <c r="G379" s="11"/>
      <c r="H379" s="11"/>
      <c r="I379" s="61"/>
      <c r="J379" s="9"/>
      <c r="K379" s="11"/>
      <c r="L379" s="9"/>
      <c r="M379" s="14"/>
      <c r="N379" s="12"/>
      <c r="O379" s="12"/>
      <c r="P379" s="13"/>
      <c r="Q379" s="9"/>
      <c r="R379" s="12"/>
      <c r="S379" s="12"/>
      <c r="T379" s="12"/>
      <c r="U379" s="17"/>
    </row>
    <row r="380" spans="1:21" x14ac:dyDescent="0.2">
      <c r="A380" s="9"/>
      <c r="B380" s="14"/>
      <c r="C380" s="10"/>
      <c r="D380" s="9"/>
      <c r="E380" s="9"/>
      <c r="F380" s="9"/>
      <c r="G380" s="11"/>
      <c r="H380" s="11"/>
      <c r="I380" s="61"/>
      <c r="J380" s="9"/>
      <c r="K380" s="11"/>
      <c r="L380" s="9"/>
      <c r="M380" s="14"/>
      <c r="N380" s="12"/>
      <c r="O380" s="12"/>
      <c r="P380" s="13"/>
      <c r="Q380" s="9"/>
      <c r="R380" s="12"/>
      <c r="S380" s="12"/>
      <c r="T380" s="12"/>
      <c r="U380" s="17"/>
    </row>
    <row r="381" spans="1:21" x14ac:dyDescent="0.2">
      <c r="A381" s="9"/>
      <c r="B381" s="14"/>
      <c r="C381" s="10"/>
      <c r="D381" s="9"/>
      <c r="E381" s="9"/>
      <c r="F381" s="9"/>
      <c r="G381" s="11"/>
      <c r="H381" s="11"/>
      <c r="I381" s="61"/>
      <c r="J381" s="9"/>
      <c r="K381" s="11"/>
      <c r="L381" s="9"/>
      <c r="M381" s="14"/>
      <c r="N381" s="12"/>
      <c r="O381" s="12"/>
      <c r="P381" s="13"/>
      <c r="Q381" s="9"/>
      <c r="R381" s="12"/>
      <c r="S381" s="12"/>
      <c r="T381" s="12"/>
      <c r="U381" s="17"/>
    </row>
    <row r="382" spans="1:21" x14ac:dyDescent="0.2">
      <c r="A382" s="9"/>
      <c r="B382" s="14"/>
      <c r="C382" s="10"/>
      <c r="D382" s="9"/>
      <c r="E382" s="9"/>
      <c r="F382" s="9"/>
      <c r="G382" s="11"/>
      <c r="H382" s="11"/>
      <c r="I382" s="61"/>
      <c r="J382" s="9"/>
      <c r="K382" s="11"/>
      <c r="L382" s="9"/>
      <c r="M382" s="14"/>
      <c r="N382" s="12"/>
      <c r="O382" s="12"/>
      <c r="P382" s="13"/>
      <c r="Q382" s="9"/>
      <c r="R382" s="12"/>
      <c r="S382" s="12"/>
      <c r="T382" s="12"/>
      <c r="U382" s="17"/>
    </row>
    <row r="383" spans="1:21" x14ac:dyDescent="0.2">
      <c r="A383" s="9"/>
      <c r="B383" s="14"/>
      <c r="C383" s="10"/>
      <c r="D383" s="9"/>
      <c r="E383" s="9"/>
      <c r="F383" s="9"/>
      <c r="G383" s="11"/>
      <c r="H383" s="11"/>
      <c r="I383" s="61"/>
      <c r="J383" s="9"/>
      <c r="K383" s="11"/>
      <c r="L383" s="9"/>
      <c r="M383" s="14"/>
      <c r="N383" s="12"/>
      <c r="O383" s="12"/>
      <c r="P383" s="13"/>
      <c r="Q383" s="9"/>
      <c r="R383" s="12"/>
      <c r="S383" s="12"/>
      <c r="T383" s="12"/>
      <c r="U383" s="17"/>
    </row>
    <row r="384" spans="1:21" x14ac:dyDescent="0.2">
      <c r="A384" s="9"/>
      <c r="B384" s="14"/>
      <c r="C384" s="10"/>
      <c r="D384" s="9"/>
      <c r="E384" s="9"/>
      <c r="F384" s="9"/>
      <c r="G384" s="11"/>
      <c r="H384" s="11"/>
      <c r="I384" s="61"/>
      <c r="J384" s="9"/>
      <c r="K384" s="11"/>
      <c r="L384" s="9"/>
      <c r="M384" s="14"/>
      <c r="N384" s="12"/>
      <c r="O384" s="12"/>
      <c r="P384" s="13"/>
      <c r="Q384" s="9"/>
      <c r="R384" s="12"/>
      <c r="S384" s="12"/>
      <c r="T384" s="12"/>
      <c r="U384" s="17"/>
    </row>
    <row r="385" spans="1:21" x14ac:dyDescent="0.2">
      <c r="A385" s="9"/>
      <c r="B385" s="14"/>
      <c r="C385" s="10"/>
      <c r="D385" s="9"/>
      <c r="E385" s="9"/>
      <c r="F385" s="9"/>
      <c r="G385" s="11"/>
      <c r="H385" s="11"/>
      <c r="I385" s="61"/>
      <c r="J385" s="9"/>
      <c r="K385" s="11"/>
      <c r="L385" s="9"/>
      <c r="M385" s="14"/>
      <c r="N385" s="12"/>
      <c r="O385" s="12"/>
      <c r="P385" s="13"/>
      <c r="Q385" s="9"/>
      <c r="R385" s="12"/>
      <c r="S385" s="12"/>
      <c r="T385" s="12"/>
      <c r="U385" s="17"/>
    </row>
    <row r="386" spans="1:21" x14ac:dyDescent="0.2">
      <c r="A386" s="9"/>
      <c r="B386" s="14"/>
      <c r="C386" s="10"/>
      <c r="D386" s="9"/>
      <c r="E386" s="9"/>
      <c r="F386" s="9"/>
      <c r="G386" s="11"/>
      <c r="H386" s="11"/>
      <c r="I386" s="61"/>
      <c r="J386" s="9"/>
      <c r="K386" s="11"/>
      <c r="L386" s="9"/>
      <c r="M386" s="14"/>
      <c r="N386" s="12"/>
      <c r="O386" s="12"/>
      <c r="P386" s="13"/>
      <c r="Q386" s="9"/>
      <c r="R386" s="12"/>
      <c r="S386" s="12"/>
      <c r="T386" s="12"/>
      <c r="U386" s="17"/>
    </row>
    <row r="387" spans="1:21" x14ac:dyDescent="0.2">
      <c r="A387" s="9"/>
      <c r="B387" s="14"/>
      <c r="C387" s="10"/>
      <c r="D387" s="9"/>
      <c r="E387" s="9"/>
      <c r="F387" s="9"/>
      <c r="G387" s="11"/>
      <c r="H387" s="11"/>
      <c r="I387" s="61"/>
      <c r="J387" s="9"/>
      <c r="K387" s="11"/>
      <c r="L387" s="9"/>
      <c r="M387" s="14"/>
      <c r="N387" s="12"/>
      <c r="O387" s="12"/>
      <c r="P387" s="13"/>
      <c r="Q387" s="9"/>
      <c r="R387" s="12"/>
      <c r="S387" s="12"/>
      <c r="T387" s="12"/>
      <c r="U387" s="17"/>
    </row>
    <row r="388" spans="1:21" x14ac:dyDescent="0.2">
      <c r="A388" s="9"/>
      <c r="B388" s="14"/>
      <c r="C388" s="10"/>
      <c r="D388" s="9"/>
      <c r="E388" s="9"/>
      <c r="F388" s="9"/>
      <c r="G388" s="11"/>
      <c r="H388" s="11"/>
      <c r="I388" s="61"/>
      <c r="J388" s="9"/>
      <c r="K388" s="11"/>
      <c r="L388" s="9"/>
      <c r="M388" s="14"/>
      <c r="N388" s="12"/>
      <c r="O388" s="12"/>
      <c r="P388" s="13"/>
      <c r="Q388" s="9"/>
      <c r="R388" s="12"/>
      <c r="S388" s="12"/>
      <c r="T388" s="12"/>
      <c r="U388" s="17"/>
    </row>
    <row r="389" spans="1:21" x14ac:dyDescent="0.2">
      <c r="A389" s="9"/>
      <c r="B389" s="14"/>
      <c r="C389" s="10"/>
      <c r="D389" s="9"/>
      <c r="E389" s="9"/>
      <c r="F389" s="9"/>
      <c r="G389" s="11"/>
      <c r="H389" s="11"/>
      <c r="I389" s="61"/>
      <c r="J389" s="9"/>
      <c r="K389" s="11"/>
      <c r="L389" s="9"/>
      <c r="M389" s="14"/>
      <c r="N389" s="12"/>
      <c r="O389" s="12"/>
      <c r="P389" s="13"/>
      <c r="Q389" s="9"/>
      <c r="R389" s="12"/>
      <c r="S389" s="12"/>
      <c r="T389" s="12"/>
      <c r="U389" s="17"/>
    </row>
    <row r="390" spans="1:21" x14ac:dyDescent="0.2">
      <c r="A390" s="9"/>
      <c r="B390" s="14"/>
      <c r="C390" s="10"/>
      <c r="D390" s="9"/>
      <c r="E390" s="9"/>
      <c r="F390" s="9"/>
      <c r="G390" s="11"/>
      <c r="H390" s="11"/>
      <c r="I390" s="61"/>
      <c r="J390" s="9"/>
      <c r="K390" s="11"/>
      <c r="L390" s="9"/>
      <c r="M390" s="14"/>
      <c r="N390" s="12"/>
      <c r="O390" s="12"/>
      <c r="P390" s="13"/>
      <c r="Q390" s="9"/>
      <c r="R390" s="12"/>
      <c r="S390" s="12"/>
      <c r="T390" s="12"/>
      <c r="U390" s="17"/>
    </row>
    <row r="391" spans="1:21" x14ac:dyDescent="0.2">
      <c r="A391" s="9"/>
      <c r="B391" s="14"/>
      <c r="C391" s="10"/>
      <c r="D391" s="9"/>
      <c r="E391" s="9"/>
      <c r="F391" s="9"/>
      <c r="G391" s="11"/>
      <c r="H391" s="11"/>
      <c r="I391" s="61"/>
      <c r="J391" s="9"/>
      <c r="K391" s="11"/>
      <c r="L391" s="9"/>
      <c r="M391" s="14"/>
      <c r="N391" s="12"/>
      <c r="O391" s="12"/>
      <c r="P391" s="13"/>
      <c r="Q391" s="9"/>
      <c r="R391" s="12"/>
      <c r="S391" s="12"/>
      <c r="T391" s="12"/>
      <c r="U391" s="17"/>
    </row>
    <row r="392" spans="1:21" x14ac:dyDescent="0.2">
      <c r="A392" s="9"/>
      <c r="B392" s="14"/>
      <c r="C392" s="10"/>
      <c r="D392" s="9"/>
      <c r="E392" s="9"/>
      <c r="F392" s="9"/>
      <c r="G392" s="11"/>
      <c r="H392" s="11"/>
      <c r="I392" s="61"/>
      <c r="J392" s="9"/>
      <c r="K392" s="11"/>
      <c r="L392" s="9"/>
      <c r="M392" s="14"/>
      <c r="N392" s="12"/>
      <c r="O392" s="12"/>
      <c r="P392" s="13"/>
      <c r="Q392" s="9"/>
      <c r="R392" s="12"/>
      <c r="S392" s="12"/>
      <c r="T392" s="12"/>
      <c r="U392" s="17"/>
    </row>
    <row r="393" spans="1:21" x14ac:dyDescent="0.2">
      <c r="A393" s="9"/>
      <c r="B393" s="14"/>
      <c r="C393" s="10"/>
      <c r="D393" s="9"/>
      <c r="E393" s="9"/>
      <c r="F393" s="9"/>
      <c r="G393" s="11"/>
      <c r="H393" s="11"/>
      <c r="I393" s="61"/>
      <c r="J393" s="9"/>
      <c r="K393" s="11"/>
      <c r="L393" s="9"/>
      <c r="M393" s="14"/>
      <c r="N393" s="12"/>
      <c r="O393" s="12"/>
      <c r="P393" s="13"/>
      <c r="Q393" s="9"/>
      <c r="R393" s="12"/>
      <c r="S393" s="12"/>
      <c r="T393" s="12"/>
      <c r="U393" s="17"/>
    </row>
    <row r="394" spans="1:21" x14ac:dyDescent="0.2">
      <c r="A394" s="9"/>
      <c r="B394" s="14"/>
      <c r="C394" s="10"/>
      <c r="D394" s="9"/>
      <c r="E394" s="9"/>
      <c r="F394" s="9"/>
      <c r="G394" s="11"/>
      <c r="H394" s="11"/>
      <c r="I394" s="61"/>
      <c r="J394" s="9"/>
      <c r="K394" s="11"/>
      <c r="L394" s="9"/>
      <c r="M394" s="14"/>
      <c r="N394" s="12"/>
      <c r="O394" s="12"/>
      <c r="P394" s="13"/>
      <c r="Q394" s="9"/>
      <c r="R394" s="12"/>
      <c r="S394" s="12"/>
      <c r="T394" s="12"/>
      <c r="U394" s="17"/>
    </row>
    <row r="395" spans="1:21" x14ac:dyDescent="0.2">
      <c r="A395" s="9"/>
      <c r="B395" s="14"/>
      <c r="C395" s="10"/>
      <c r="D395" s="9"/>
      <c r="E395" s="9"/>
      <c r="F395" s="9"/>
      <c r="G395" s="11"/>
      <c r="H395" s="11"/>
      <c r="I395" s="61"/>
      <c r="J395" s="9"/>
      <c r="K395" s="11"/>
      <c r="L395" s="9"/>
      <c r="M395" s="14"/>
      <c r="N395" s="12"/>
      <c r="O395" s="12"/>
      <c r="P395" s="13"/>
      <c r="Q395" s="9"/>
      <c r="R395" s="12"/>
      <c r="S395" s="12"/>
      <c r="T395" s="12"/>
      <c r="U395" s="17"/>
    </row>
    <row r="396" spans="1:21" x14ac:dyDescent="0.2">
      <c r="A396" s="9"/>
      <c r="B396" s="14"/>
      <c r="C396" s="10"/>
      <c r="D396" s="9"/>
      <c r="E396" s="9"/>
      <c r="F396" s="9"/>
      <c r="G396" s="11"/>
      <c r="H396" s="11"/>
      <c r="I396" s="61"/>
      <c r="J396" s="9"/>
      <c r="K396" s="11"/>
      <c r="L396" s="9"/>
      <c r="M396" s="14"/>
      <c r="N396" s="12"/>
      <c r="O396" s="12"/>
      <c r="P396" s="13"/>
      <c r="Q396" s="9"/>
      <c r="R396" s="12"/>
      <c r="S396" s="12"/>
      <c r="T396" s="12"/>
      <c r="U396" s="17"/>
    </row>
    <row r="397" spans="1:21" x14ac:dyDescent="0.2">
      <c r="A397" s="9"/>
      <c r="B397" s="14"/>
      <c r="C397" s="10"/>
      <c r="D397" s="9"/>
      <c r="E397" s="9"/>
      <c r="F397" s="9"/>
      <c r="G397" s="11"/>
      <c r="H397" s="11"/>
      <c r="I397" s="61"/>
      <c r="J397" s="9"/>
      <c r="K397" s="11"/>
      <c r="L397" s="9"/>
      <c r="M397" s="14"/>
      <c r="N397" s="12"/>
      <c r="O397" s="12"/>
      <c r="P397" s="13"/>
      <c r="Q397" s="9"/>
      <c r="R397" s="12"/>
      <c r="S397" s="12"/>
      <c r="T397" s="12"/>
      <c r="U397" s="17"/>
    </row>
    <row r="398" spans="1:21" x14ac:dyDescent="0.2">
      <c r="A398" s="9"/>
      <c r="B398" s="14"/>
      <c r="C398" s="10"/>
      <c r="D398" s="9"/>
      <c r="E398" s="9"/>
      <c r="F398" s="9"/>
      <c r="G398" s="11"/>
      <c r="H398" s="11"/>
      <c r="I398" s="61"/>
      <c r="J398" s="9"/>
      <c r="K398" s="11"/>
      <c r="L398" s="9"/>
      <c r="M398" s="14"/>
      <c r="N398" s="12"/>
      <c r="O398" s="12"/>
      <c r="P398" s="13"/>
      <c r="Q398" s="9"/>
      <c r="R398" s="12"/>
      <c r="S398" s="12"/>
      <c r="T398" s="12"/>
      <c r="U398" s="17"/>
    </row>
    <row r="399" spans="1:21" x14ac:dyDescent="0.2">
      <c r="A399" s="9"/>
      <c r="B399" s="14"/>
      <c r="C399" s="10"/>
      <c r="D399" s="9"/>
      <c r="E399" s="9"/>
      <c r="F399" s="9"/>
      <c r="G399" s="11"/>
      <c r="H399" s="11"/>
      <c r="I399" s="61"/>
      <c r="J399" s="9"/>
      <c r="K399" s="11"/>
      <c r="L399" s="9"/>
      <c r="M399" s="14"/>
      <c r="N399" s="12"/>
      <c r="O399" s="12"/>
      <c r="P399" s="13"/>
      <c r="Q399" s="9"/>
      <c r="R399" s="12"/>
      <c r="S399" s="12"/>
      <c r="T399" s="12"/>
      <c r="U399" s="17"/>
    </row>
    <row r="400" spans="1:21" x14ac:dyDescent="0.2">
      <c r="A400" s="9"/>
      <c r="B400" s="14"/>
      <c r="C400" s="10"/>
      <c r="D400" s="9"/>
      <c r="E400" s="9"/>
      <c r="F400" s="9"/>
      <c r="G400" s="11"/>
      <c r="H400" s="11"/>
      <c r="I400" s="61"/>
      <c r="J400" s="9"/>
      <c r="K400" s="11"/>
      <c r="L400" s="9"/>
      <c r="M400" s="14"/>
      <c r="N400" s="12"/>
      <c r="O400" s="12"/>
      <c r="P400" s="13"/>
      <c r="Q400" s="9"/>
      <c r="R400" s="12"/>
      <c r="S400" s="12"/>
      <c r="T400" s="12"/>
      <c r="U400" s="17"/>
    </row>
    <row r="401" spans="1:21" x14ac:dyDescent="0.2">
      <c r="A401" s="9"/>
      <c r="B401" s="14"/>
      <c r="C401" s="10"/>
      <c r="D401" s="9"/>
      <c r="E401" s="9"/>
      <c r="F401" s="9"/>
      <c r="G401" s="11"/>
      <c r="H401" s="11"/>
      <c r="I401" s="61"/>
      <c r="J401" s="9"/>
      <c r="K401" s="11"/>
      <c r="L401" s="9"/>
      <c r="M401" s="14"/>
      <c r="N401" s="12"/>
      <c r="O401" s="12"/>
      <c r="P401" s="13"/>
      <c r="Q401" s="9"/>
      <c r="R401" s="12"/>
      <c r="S401" s="12"/>
      <c r="T401" s="12"/>
      <c r="U401" s="17"/>
    </row>
    <row r="402" spans="1:21" x14ac:dyDescent="0.2">
      <c r="A402" s="9"/>
      <c r="B402" s="14"/>
      <c r="C402" s="10"/>
      <c r="D402" s="9"/>
      <c r="E402" s="9"/>
      <c r="F402" s="9"/>
      <c r="G402" s="11"/>
      <c r="H402" s="11"/>
      <c r="I402" s="61"/>
      <c r="J402" s="9"/>
      <c r="K402" s="11"/>
      <c r="L402" s="9"/>
      <c r="M402" s="14"/>
      <c r="N402" s="12"/>
      <c r="O402" s="12"/>
      <c r="P402" s="13"/>
      <c r="Q402" s="9"/>
      <c r="R402" s="12"/>
      <c r="S402" s="12"/>
      <c r="T402" s="12"/>
      <c r="U402" s="17"/>
    </row>
    <row r="403" spans="1:21" x14ac:dyDescent="0.2">
      <c r="A403" s="9"/>
      <c r="B403" s="14"/>
      <c r="C403" s="10"/>
      <c r="D403" s="9"/>
      <c r="E403" s="9"/>
      <c r="F403" s="9"/>
      <c r="G403" s="11"/>
      <c r="H403" s="11"/>
      <c r="I403" s="61"/>
      <c r="J403" s="9"/>
      <c r="K403" s="11"/>
      <c r="L403" s="9"/>
      <c r="M403" s="14"/>
      <c r="N403" s="12"/>
      <c r="O403" s="12"/>
      <c r="P403" s="13"/>
      <c r="Q403" s="9"/>
      <c r="R403" s="12"/>
      <c r="S403" s="12"/>
      <c r="T403" s="12"/>
      <c r="U403" s="17"/>
    </row>
    <row r="404" spans="1:21" x14ac:dyDescent="0.2">
      <c r="A404" s="9"/>
      <c r="B404" s="14"/>
      <c r="C404" s="10"/>
      <c r="D404" s="9"/>
      <c r="E404" s="9"/>
      <c r="F404" s="9"/>
      <c r="G404" s="11"/>
      <c r="H404" s="11"/>
      <c r="I404" s="61"/>
      <c r="J404" s="9"/>
      <c r="K404" s="11"/>
      <c r="L404" s="9"/>
      <c r="M404" s="14"/>
      <c r="N404" s="12"/>
      <c r="O404" s="12"/>
      <c r="P404" s="13"/>
      <c r="Q404" s="9"/>
      <c r="R404" s="12"/>
      <c r="S404" s="12"/>
      <c r="T404" s="12"/>
      <c r="U404" s="17"/>
    </row>
    <row r="405" spans="1:21" x14ac:dyDescent="0.2">
      <c r="A405" s="9"/>
      <c r="B405" s="14"/>
      <c r="C405" s="10"/>
      <c r="D405" s="9"/>
      <c r="E405" s="9"/>
      <c r="F405" s="9"/>
      <c r="G405" s="11"/>
      <c r="H405" s="11"/>
      <c r="I405" s="61"/>
      <c r="J405" s="9"/>
      <c r="K405" s="11"/>
      <c r="L405" s="9"/>
      <c r="M405" s="14"/>
      <c r="N405" s="12"/>
      <c r="O405" s="12"/>
      <c r="P405" s="13"/>
      <c r="Q405" s="9"/>
      <c r="R405" s="12"/>
      <c r="S405" s="12"/>
      <c r="T405" s="12"/>
      <c r="U405" s="17"/>
    </row>
    <row r="406" spans="1:21" x14ac:dyDescent="0.2">
      <c r="A406" s="9"/>
      <c r="B406" s="14"/>
      <c r="C406" s="10"/>
      <c r="D406" s="9"/>
      <c r="E406" s="9"/>
      <c r="F406" s="9"/>
      <c r="G406" s="11"/>
      <c r="H406" s="11"/>
      <c r="I406" s="61"/>
      <c r="J406" s="9"/>
      <c r="K406" s="11"/>
      <c r="L406" s="9"/>
      <c r="M406" s="14"/>
      <c r="N406" s="12"/>
      <c r="O406" s="12"/>
      <c r="P406" s="13"/>
      <c r="Q406" s="9"/>
      <c r="R406" s="12"/>
      <c r="S406" s="12"/>
      <c r="T406" s="12"/>
      <c r="U406" s="17"/>
    </row>
    <row r="407" spans="1:21" x14ac:dyDescent="0.2">
      <c r="A407" s="9"/>
      <c r="B407" s="14"/>
      <c r="C407" s="10"/>
      <c r="D407" s="9"/>
      <c r="E407" s="9"/>
      <c r="F407" s="9"/>
      <c r="G407" s="11"/>
      <c r="H407" s="11"/>
      <c r="I407" s="61"/>
      <c r="J407" s="9"/>
      <c r="K407" s="11"/>
      <c r="L407" s="9"/>
      <c r="M407" s="14"/>
      <c r="N407" s="12"/>
      <c r="O407" s="12"/>
      <c r="P407" s="13"/>
      <c r="Q407" s="9"/>
      <c r="R407" s="12"/>
      <c r="S407" s="12"/>
      <c r="T407" s="12"/>
      <c r="U407" s="17"/>
    </row>
    <row r="408" spans="1:21" x14ac:dyDescent="0.2">
      <c r="A408" s="9"/>
      <c r="B408" s="14"/>
      <c r="C408" s="10"/>
      <c r="D408" s="9"/>
      <c r="E408" s="9"/>
      <c r="F408" s="9"/>
      <c r="G408" s="11"/>
      <c r="H408" s="11"/>
      <c r="I408" s="61"/>
      <c r="J408" s="9"/>
      <c r="K408" s="11"/>
      <c r="L408" s="9"/>
      <c r="M408" s="14"/>
      <c r="N408" s="12"/>
      <c r="O408" s="12"/>
      <c r="P408" s="13"/>
      <c r="Q408" s="9"/>
      <c r="R408" s="12"/>
      <c r="S408" s="12"/>
      <c r="T408" s="12"/>
      <c r="U408" s="17"/>
    </row>
    <row r="409" spans="1:21" x14ac:dyDescent="0.2">
      <c r="A409" s="9"/>
      <c r="B409" s="14"/>
      <c r="C409" s="10"/>
      <c r="D409" s="9"/>
      <c r="E409" s="9"/>
      <c r="F409" s="9"/>
      <c r="G409" s="11"/>
      <c r="H409" s="11"/>
      <c r="I409" s="61"/>
      <c r="J409" s="9"/>
      <c r="K409" s="11"/>
      <c r="L409" s="9"/>
      <c r="M409" s="14"/>
      <c r="N409" s="12"/>
      <c r="O409" s="12"/>
      <c r="P409" s="13"/>
      <c r="Q409" s="9"/>
      <c r="R409" s="12"/>
      <c r="S409" s="12"/>
      <c r="T409" s="12"/>
      <c r="U409" s="17"/>
    </row>
    <row r="410" spans="1:21" x14ac:dyDescent="0.2">
      <c r="A410" s="9"/>
      <c r="B410" s="14"/>
      <c r="C410" s="10"/>
      <c r="D410" s="9"/>
      <c r="E410" s="9"/>
      <c r="F410" s="9"/>
      <c r="G410" s="11"/>
      <c r="H410" s="11"/>
      <c r="I410" s="61"/>
      <c r="J410" s="9"/>
      <c r="K410" s="11"/>
      <c r="L410" s="9"/>
      <c r="M410" s="14"/>
      <c r="N410" s="12"/>
      <c r="O410" s="12"/>
      <c r="P410" s="13"/>
      <c r="Q410" s="9"/>
      <c r="R410" s="12"/>
      <c r="S410" s="12"/>
      <c r="T410" s="12"/>
      <c r="U410" s="17"/>
    </row>
    <row r="411" spans="1:21" x14ac:dyDescent="0.2">
      <c r="A411" s="9"/>
      <c r="B411" s="14"/>
      <c r="C411" s="10"/>
      <c r="D411" s="9"/>
      <c r="E411" s="9"/>
      <c r="F411" s="9"/>
      <c r="G411" s="11"/>
      <c r="H411" s="11"/>
      <c r="I411" s="61"/>
      <c r="J411" s="9"/>
      <c r="K411" s="11"/>
      <c r="L411" s="9"/>
      <c r="M411" s="14"/>
      <c r="N411" s="12"/>
      <c r="O411" s="12"/>
      <c r="P411" s="13"/>
      <c r="Q411" s="9"/>
      <c r="R411" s="12"/>
      <c r="S411" s="12"/>
      <c r="T411" s="12"/>
      <c r="U411" s="17"/>
    </row>
    <row r="412" spans="1:21" x14ac:dyDescent="0.2">
      <c r="A412" s="9"/>
      <c r="B412" s="14"/>
      <c r="C412" s="10"/>
      <c r="D412" s="9"/>
      <c r="E412" s="9"/>
      <c r="F412" s="9"/>
      <c r="G412" s="11"/>
      <c r="H412" s="11"/>
      <c r="I412" s="61"/>
      <c r="J412" s="9"/>
      <c r="K412" s="11"/>
      <c r="L412" s="9"/>
      <c r="M412" s="14"/>
      <c r="N412" s="12"/>
      <c r="O412" s="12"/>
      <c r="P412" s="13"/>
      <c r="Q412" s="9"/>
      <c r="R412" s="12"/>
      <c r="S412" s="12"/>
      <c r="T412" s="12"/>
      <c r="U412" s="17"/>
    </row>
    <row r="413" spans="1:21" x14ac:dyDescent="0.2">
      <c r="A413" s="9"/>
      <c r="B413" s="14"/>
      <c r="C413" s="10"/>
      <c r="D413" s="9"/>
      <c r="E413" s="9"/>
      <c r="F413" s="9"/>
      <c r="G413" s="11"/>
      <c r="H413" s="11"/>
      <c r="I413" s="61"/>
      <c r="J413" s="9"/>
      <c r="K413" s="11"/>
      <c r="L413" s="9"/>
      <c r="M413" s="14"/>
      <c r="N413" s="12"/>
      <c r="O413" s="12"/>
      <c r="P413" s="13"/>
      <c r="Q413" s="9"/>
      <c r="R413" s="12"/>
      <c r="S413" s="12"/>
      <c r="T413" s="12"/>
      <c r="U413" s="17"/>
    </row>
    <row r="414" spans="1:21" x14ac:dyDescent="0.2">
      <c r="A414" s="9"/>
      <c r="B414" s="14"/>
      <c r="C414" s="10"/>
      <c r="D414" s="9"/>
      <c r="E414" s="9"/>
      <c r="F414" s="9"/>
      <c r="G414" s="11"/>
      <c r="H414" s="11"/>
      <c r="I414" s="61"/>
      <c r="J414" s="9"/>
      <c r="K414" s="11"/>
      <c r="L414" s="9"/>
      <c r="M414" s="14"/>
      <c r="N414" s="12"/>
      <c r="O414" s="12"/>
      <c r="P414" s="13"/>
      <c r="Q414" s="9"/>
      <c r="R414" s="12"/>
      <c r="S414" s="12"/>
      <c r="T414" s="12"/>
      <c r="U414" s="17"/>
    </row>
    <row r="415" spans="1:21" x14ac:dyDescent="0.2">
      <c r="A415" s="9"/>
      <c r="B415" s="14"/>
      <c r="C415" s="10"/>
      <c r="D415" s="9"/>
      <c r="E415" s="9"/>
      <c r="F415" s="9"/>
      <c r="G415" s="11"/>
      <c r="H415" s="11"/>
      <c r="I415" s="61"/>
      <c r="J415" s="9"/>
      <c r="K415" s="11"/>
      <c r="L415" s="9"/>
      <c r="M415" s="14"/>
      <c r="N415" s="12"/>
      <c r="O415" s="12"/>
      <c r="P415" s="13"/>
      <c r="Q415" s="9"/>
      <c r="R415" s="12"/>
      <c r="S415" s="12"/>
      <c r="T415" s="12"/>
      <c r="U415" s="17"/>
    </row>
    <row r="416" spans="1:21" x14ac:dyDescent="0.2">
      <c r="A416" s="9"/>
      <c r="B416" s="14"/>
      <c r="C416" s="10"/>
      <c r="D416" s="9"/>
      <c r="E416" s="9"/>
      <c r="F416" s="9"/>
      <c r="G416" s="11"/>
      <c r="H416" s="11"/>
      <c r="I416" s="61"/>
      <c r="J416" s="9"/>
      <c r="K416" s="11"/>
      <c r="L416" s="9"/>
      <c r="M416" s="14"/>
      <c r="N416" s="12"/>
      <c r="O416" s="12"/>
      <c r="P416" s="13"/>
      <c r="Q416" s="9"/>
      <c r="R416" s="12"/>
      <c r="S416" s="12"/>
      <c r="T416" s="12"/>
      <c r="U416" s="17"/>
    </row>
    <row r="417" spans="1:21" x14ac:dyDescent="0.2">
      <c r="A417" s="9"/>
      <c r="B417" s="14"/>
      <c r="C417" s="10"/>
      <c r="D417" s="9"/>
      <c r="E417" s="9"/>
      <c r="F417" s="9"/>
      <c r="G417" s="11"/>
      <c r="H417" s="11"/>
      <c r="I417" s="61"/>
      <c r="J417" s="9"/>
      <c r="K417" s="11"/>
      <c r="L417" s="9"/>
      <c r="M417" s="14"/>
      <c r="N417" s="12"/>
      <c r="O417" s="12"/>
      <c r="P417" s="13"/>
      <c r="Q417" s="9"/>
      <c r="R417" s="12"/>
      <c r="S417" s="12"/>
      <c r="T417" s="12"/>
      <c r="U417" s="17"/>
    </row>
    <row r="418" spans="1:21" x14ac:dyDescent="0.2">
      <c r="A418" s="9"/>
      <c r="B418" s="14"/>
      <c r="C418" s="10"/>
      <c r="D418" s="9"/>
      <c r="E418" s="9"/>
      <c r="F418" s="9"/>
      <c r="G418" s="11"/>
      <c r="H418" s="11"/>
      <c r="I418" s="61"/>
      <c r="J418" s="9"/>
      <c r="K418" s="11"/>
      <c r="L418" s="9"/>
      <c r="M418" s="14"/>
      <c r="N418" s="12"/>
      <c r="O418" s="12"/>
      <c r="P418" s="13"/>
      <c r="Q418" s="9"/>
      <c r="R418" s="12"/>
      <c r="S418" s="12"/>
      <c r="T418" s="12"/>
      <c r="U418" s="17"/>
    </row>
    <row r="419" spans="1:21" x14ac:dyDescent="0.2">
      <c r="A419" s="9"/>
      <c r="B419" s="14"/>
      <c r="C419" s="10"/>
      <c r="D419" s="9"/>
      <c r="E419" s="9"/>
      <c r="F419" s="9"/>
      <c r="G419" s="11"/>
      <c r="H419" s="11"/>
      <c r="I419" s="61"/>
      <c r="J419" s="9"/>
      <c r="K419" s="11"/>
      <c r="L419" s="9"/>
      <c r="M419" s="14"/>
      <c r="N419" s="12"/>
      <c r="O419" s="12"/>
      <c r="P419" s="13"/>
      <c r="Q419" s="9"/>
      <c r="R419" s="12"/>
      <c r="S419" s="12"/>
      <c r="T419" s="12"/>
      <c r="U419" s="17"/>
    </row>
    <row r="420" spans="1:21" x14ac:dyDescent="0.2">
      <c r="A420" s="9"/>
      <c r="B420" s="14"/>
      <c r="C420" s="10"/>
      <c r="D420" s="9"/>
      <c r="E420" s="9"/>
      <c r="F420" s="9"/>
      <c r="G420" s="11"/>
      <c r="H420" s="11"/>
      <c r="I420" s="61"/>
      <c r="J420" s="9"/>
      <c r="K420" s="11"/>
      <c r="L420" s="9"/>
      <c r="M420" s="14"/>
      <c r="N420" s="12"/>
      <c r="O420" s="12"/>
      <c r="P420" s="13"/>
      <c r="Q420" s="9"/>
      <c r="R420" s="12"/>
      <c r="S420" s="12"/>
      <c r="T420" s="12"/>
      <c r="U420" s="17"/>
    </row>
    <row r="421" spans="1:21" x14ac:dyDescent="0.2">
      <c r="A421" s="9"/>
      <c r="B421" s="14"/>
      <c r="C421" s="10"/>
      <c r="D421" s="9"/>
      <c r="E421" s="9"/>
      <c r="F421" s="9"/>
      <c r="G421" s="11"/>
      <c r="H421" s="11"/>
      <c r="I421" s="61"/>
      <c r="J421" s="9"/>
      <c r="K421" s="11"/>
      <c r="L421" s="9"/>
      <c r="M421" s="14"/>
      <c r="N421" s="12"/>
      <c r="O421" s="12"/>
      <c r="P421" s="13"/>
      <c r="Q421" s="9"/>
      <c r="R421" s="12"/>
      <c r="S421" s="12"/>
      <c r="T421" s="12"/>
      <c r="U421" s="17"/>
    </row>
    <row r="422" spans="1:21" x14ac:dyDescent="0.2">
      <c r="A422" s="9"/>
      <c r="B422" s="14"/>
      <c r="C422" s="10"/>
      <c r="D422" s="9"/>
      <c r="E422" s="9"/>
      <c r="F422" s="9"/>
      <c r="G422" s="11"/>
      <c r="H422" s="11"/>
      <c r="I422" s="61"/>
      <c r="J422" s="9"/>
      <c r="K422" s="11"/>
      <c r="L422" s="9"/>
      <c r="M422" s="14"/>
      <c r="N422" s="12"/>
      <c r="O422" s="12"/>
      <c r="P422" s="13"/>
      <c r="Q422" s="9"/>
      <c r="R422" s="12"/>
      <c r="S422" s="12"/>
      <c r="T422" s="12"/>
      <c r="U422" s="17"/>
    </row>
    <row r="423" spans="1:21" x14ac:dyDescent="0.2">
      <c r="A423" s="9"/>
      <c r="B423" s="14"/>
      <c r="C423" s="10"/>
      <c r="D423" s="9"/>
      <c r="E423" s="9"/>
      <c r="F423" s="9"/>
      <c r="G423" s="11"/>
      <c r="H423" s="11"/>
      <c r="I423" s="61"/>
      <c r="J423" s="9"/>
      <c r="K423" s="11"/>
      <c r="L423" s="9"/>
      <c r="M423" s="14"/>
      <c r="N423" s="12"/>
      <c r="O423" s="12"/>
      <c r="P423" s="13"/>
      <c r="Q423" s="9"/>
      <c r="R423" s="12"/>
      <c r="S423" s="12"/>
      <c r="T423" s="12"/>
      <c r="U423" s="17"/>
    </row>
    <row r="424" spans="1:21" x14ac:dyDescent="0.2">
      <c r="A424" s="9"/>
      <c r="B424" s="14"/>
      <c r="C424" s="10"/>
      <c r="D424" s="9"/>
      <c r="E424" s="9"/>
      <c r="F424" s="9"/>
      <c r="G424" s="11"/>
      <c r="H424" s="11"/>
      <c r="I424" s="61"/>
      <c r="J424" s="9"/>
      <c r="K424" s="11"/>
      <c r="L424" s="9"/>
      <c r="M424" s="14"/>
      <c r="N424" s="12"/>
      <c r="O424" s="12"/>
      <c r="P424" s="13"/>
      <c r="Q424" s="9"/>
      <c r="R424" s="12"/>
      <c r="S424" s="12"/>
      <c r="T424" s="12"/>
      <c r="U424" s="17"/>
    </row>
    <row r="425" spans="1:21" x14ac:dyDescent="0.2">
      <c r="A425" s="9"/>
      <c r="B425" s="14"/>
      <c r="C425" s="10"/>
      <c r="D425" s="9"/>
      <c r="E425" s="9"/>
      <c r="F425" s="9"/>
      <c r="G425" s="11"/>
      <c r="H425" s="11"/>
      <c r="I425" s="61"/>
      <c r="J425" s="9"/>
      <c r="K425" s="11"/>
      <c r="L425" s="9"/>
      <c r="M425" s="14"/>
      <c r="N425" s="12"/>
      <c r="O425" s="12"/>
      <c r="P425" s="13"/>
      <c r="Q425" s="9"/>
      <c r="R425" s="12"/>
      <c r="S425" s="12"/>
      <c r="T425" s="12"/>
      <c r="U425" s="17"/>
    </row>
    <row r="426" spans="1:21" x14ac:dyDescent="0.2">
      <c r="A426" s="9"/>
      <c r="B426" s="14"/>
      <c r="C426" s="10"/>
      <c r="D426" s="9"/>
      <c r="E426" s="9"/>
      <c r="F426" s="9"/>
      <c r="G426" s="11"/>
      <c r="H426" s="11"/>
      <c r="I426" s="61"/>
      <c r="J426" s="9"/>
      <c r="K426" s="11"/>
      <c r="L426" s="9"/>
      <c r="M426" s="14"/>
      <c r="N426" s="12"/>
      <c r="O426" s="12"/>
      <c r="P426" s="13"/>
      <c r="Q426" s="9"/>
      <c r="R426" s="12"/>
      <c r="S426" s="12"/>
      <c r="T426" s="12"/>
      <c r="U426" s="17"/>
    </row>
    <row r="427" spans="1:21" x14ac:dyDescent="0.2">
      <c r="A427" s="9"/>
      <c r="B427" s="14"/>
      <c r="C427" s="10"/>
      <c r="D427" s="9"/>
      <c r="E427" s="9"/>
      <c r="F427" s="9"/>
      <c r="G427" s="11"/>
      <c r="H427" s="11"/>
      <c r="I427" s="61"/>
      <c r="J427" s="9"/>
      <c r="K427" s="11"/>
      <c r="L427" s="9"/>
      <c r="M427" s="14"/>
      <c r="N427" s="12"/>
      <c r="O427" s="12"/>
      <c r="P427" s="13"/>
      <c r="Q427" s="9"/>
      <c r="R427" s="12"/>
      <c r="S427" s="12"/>
      <c r="T427" s="12"/>
      <c r="U427" s="17"/>
    </row>
    <row r="428" spans="1:21" x14ac:dyDescent="0.2">
      <c r="A428" s="9"/>
      <c r="B428" s="14"/>
      <c r="C428" s="10"/>
      <c r="D428" s="9"/>
      <c r="E428" s="9"/>
      <c r="F428" s="9"/>
      <c r="G428" s="11"/>
      <c r="H428" s="11"/>
      <c r="I428" s="61"/>
      <c r="J428" s="9"/>
      <c r="K428" s="11"/>
      <c r="L428" s="9"/>
      <c r="M428" s="14"/>
      <c r="N428" s="12"/>
      <c r="O428" s="12"/>
      <c r="P428" s="13"/>
      <c r="Q428" s="9"/>
      <c r="R428" s="12"/>
      <c r="S428" s="12"/>
      <c r="T428" s="12"/>
      <c r="U428" s="17"/>
    </row>
    <row r="429" spans="1:21" x14ac:dyDescent="0.2">
      <c r="A429" s="9"/>
      <c r="B429" s="14"/>
      <c r="C429" s="10"/>
      <c r="D429" s="9"/>
      <c r="E429" s="9"/>
      <c r="F429" s="9"/>
      <c r="G429" s="11"/>
      <c r="H429" s="11"/>
      <c r="I429" s="61"/>
      <c r="J429" s="9"/>
      <c r="K429" s="11"/>
      <c r="L429" s="9"/>
      <c r="M429" s="14"/>
      <c r="N429" s="12"/>
      <c r="O429" s="12"/>
      <c r="P429" s="13"/>
      <c r="Q429" s="9"/>
      <c r="R429" s="12"/>
      <c r="S429" s="12"/>
      <c r="T429" s="12"/>
      <c r="U429" s="17"/>
    </row>
    <row r="430" spans="1:21" x14ac:dyDescent="0.2">
      <c r="A430" s="9"/>
      <c r="B430" s="14"/>
      <c r="C430" s="10"/>
      <c r="D430" s="9"/>
      <c r="E430" s="9"/>
      <c r="F430" s="9"/>
      <c r="G430" s="11"/>
      <c r="H430" s="11"/>
      <c r="I430" s="61"/>
      <c r="J430" s="9"/>
      <c r="K430" s="11"/>
      <c r="L430" s="9"/>
      <c r="M430" s="14"/>
      <c r="N430" s="12"/>
      <c r="O430" s="12"/>
      <c r="P430" s="13"/>
      <c r="Q430" s="9"/>
      <c r="R430" s="12"/>
      <c r="S430" s="12"/>
      <c r="T430" s="12"/>
      <c r="U430" s="17"/>
    </row>
    <row r="431" spans="1:21" x14ac:dyDescent="0.2">
      <c r="A431" s="9"/>
      <c r="B431" s="14"/>
      <c r="C431" s="10"/>
      <c r="D431" s="9"/>
      <c r="E431" s="9"/>
      <c r="F431" s="9"/>
      <c r="G431" s="11"/>
      <c r="H431" s="11"/>
      <c r="I431" s="61"/>
      <c r="J431" s="9"/>
      <c r="K431" s="11"/>
      <c r="L431" s="9"/>
      <c r="M431" s="14"/>
      <c r="N431" s="12"/>
      <c r="O431" s="12"/>
      <c r="P431" s="13"/>
      <c r="Q431" s="9"/>
      <c r="R431" s="12"/>
      <c r="S431" s="12"/>
      <c r="T431" s="12"/>
      <c r="U431" s="17"/>
    </row>
    <row r="432" spans="1:21" x14ac:dyDescent="0.2">
      <c r="A432" s="9"/>
      <c r="B432" s="14"/>
      <c r="C432" s="10"/>
      <c r="D432" s="9"/>
      <c r="E432" s="9"/>
      <c r="F432" s="9"/>
      <c r="G432" s="11"/>
      <c r="H432" s="11"/>
      <c r="I432" s="61"/>
      <c r="J432" s="9"/>
      <c r="K432" s="11"/>
      <c r="L432" s="9"/>
      <c r="M432" s="14"/>
      <c r="N432" s="12"/>
      <c r="O432" s="12"/>
      <c r="P432" s="13"/>
      <c r="Q432" s="9"/>
      <c r="R432" s="12"/>
      <c r="S432" s="12"/>
      <c r="T432" s="12"/>
      <c r="U432" s="17"/>
    </row>
    <row r="433" spans="1:21" x14ac:dyDescent="0.2">
      <c r="A433" s="9"/>
      <c r="B433" s="14"/>
      <c r="C433" s="10"/>
      <c r="D433" s="9"/>
      <c r="E433" s="9"/>
      <c r="F433" s="9"/>
      <c r="G433" s="11"/>
      <c r="H433" s="11"/>
      <c r="I433" s="61"/>
      <c r="J433" s="9"/>
      <c r="K433" s="11"/>
      <c r="L433" s="9"/>
      <c r="M433" s="14"/>
      <c r="N433" s="12"/>
      <c r="O433" s="12"/>
      <c r="P433" s="13"/>
      <c r="Q433" s="9"/>
      <c r="R433" s="12"/>
      <c r="S433" s="12"/>
      <c r="T433" s="12"/>
      <c r="U433" s="17"/>
    </row>
    <row r="434" spans="1:21" x14ac:dyDescent="0.2">
      <c r="A434" s="9"/>
      <c r="B434" s="14"/>
      <c r="C434" s="10"/>
      <c r="D434" s="9"/>
      <c r="E434" s="9"/>
      <c r="F434" s="9"/>
      <c r="G434" s="11"/>
      <c r="H434" s="11"/>
      <c r="I434" s="61"/>
      <c r="J434" s="9"/>
      <c r="K434" s="11"/>
      <c r="L434" s="9"/>
      <c r="M434" s="14"/>
      <c r="N434" s="12"/>
      <c r="O434" s="12"/>
      <c r="P434" s="13"/>
      <c r="Q434" s="9"/>
      <c r="R434" s="12"/>
      <c r="S434" s="12"/>
      <c r="T434" s="12"/>
      <c r="U434" s="17"/>
    </row>
    <row r="435" spans="1:21" x14ac:dyDescent="0.2">
      <c r="A435" s="9"/>
      <c r="B435" s="14"/>
      <c r="C435" s="10"/>
      <c r="D435" s="9"/>
      <c r="E435" s="9"/>
      <c r="F435" s="9"/>
      <c r="G435" s="11"/>
      <c r="H435" s="11"/>
      <c r="I435" s="61"/>
      <c r="J435" s="9"/>
      <c r="K435" s="11"/>
      <c r="L435" s="9"/>
      <c r="M435" s="14"/>
      <c r="N435" s="12"/>
      <c r="O435" s="12"/>
      <c r="P435" s="13"/>
      <c r="Q435" s="9"/>
      <c r="R435" s="12"/>
      <c r="S435" s="12"/>
      <c r="T435" s="12"/>
      <c r="U435" s="17"/>
    </row>
    <row r="436" spans="1:21" x14ac:dyDescent="0.2">
      <c r="A436" s="9"/>
      <c r="B436" s="14"/>
      <c r="C436" s="10"/>
      <c r="D436" s="9"/>
      <c r="E436" s="9"/>
      <c r="F436" s="9"/>
      <c r="G436" s="11"/>
      <c r="H436" s="11"/>
      <c r="I436" s="61"/>
      <c r="J436" s="9"/>
      <c r="K436" s="11"/>
      <c r="L436" s="9"/>
      <c r="M436" s="14"/>
      <c r="N436" s="12"/>
      <c r="O436" s="12"/>
      <c r="P436" s="13"/>
      <c r="Q436" s="9"/>
      <c r="R436" s="12"/>
      <c r="S436" s="12"/>
      <c r="T436" s="12"/>
      <c r="U436" s="17"/>
    </row>
    <row r="437" spans="1:21" x14ac:dyDescent="0.2">
      <c r="A437" s="9"/>
      <c r="B437" s="14"/>
      <c r="C437" s="10"/>
      <c r="D437" s="9"/>
      <c r="E437" s="9"/>
      <c r="F437" s="9"/>
      <c r="G437" s="11"/>
      <c r="H437" s="11"/>
      <c r="I437" s="61"/>
      <c r="J437" s="9"/>
      <c r="K437" s="11"/>
      <c r="L437" s="9"/>
      <c r="M437" s="14"/>
      <c r="N437" s="12"/>
      <c r="O437" s="12"/>
      <c r="P437" s="13"/>
      <c r="Q437" s="9"/>
      <c r="R437" s="12"/>
      <c r="S437" s="12"/>
      <c r="T437" s="12"/>
      <c r="U437" s="17"/>
    </row>
    <row r="438" spans="1:21" x14ac:dyDescent="0.2">
      <c r="A438" s="9"/>
      <c r="B438" s="14"/>
      <c r="C438" s="10"/>
      <c r="D438" s="9"/>
      <c r="E438" s="9"/>
      <c r="F438" s="9"/>
      <c r="G438" s="11"/>
      <c r="H438" s="11"/>
      <c r="I438" s="61"/>
      <c r="J438" s="9"/>
      <c r="K438" s="11"/>
      <c r="L438" s="9"/>
      <c r="M438" s="14"/>
      <c r="N438" s="12"/>
      <c r="O438" s="12"/>
      <c r="P438" s="13"/>
      <c r="Q438" s="9"/>
      <c r="R438" s="12"/>
      <c r="S438" s="12"/>
      <c r="T438" s="12"/>
      <c r="U438" s="17"/>
    </row>
    <row r="439" spans="1:21" x14ac:dyDescent="0.2">
      <c r="A439" s="9"/>
      <c r="B439" s="14"/>
      <c r="C439" s="10"/>
      <c r="D439" s="9"/>
      <c r="E439" s="9"/>
      <c r="F439" s="9"/>
      <c r="G439" s="11"/>
      <c r="H439" s="11"/>
      <c r="I439" s="61"/>
      <c r="J439" s="9"/>
      <c r="K439" s="11"/>
      <c r="L439" s="9"/>
      <c r="M439" s="14"/>
      <c r="N439" s="12"/>
      <c r="O439" s="12"/>
      <c r="P439" s="13"/>
      <c r="Q439" s="9"/>
      <c r="R439" s="12"/>
      <c r="S439" s="12"/>
      <c r="T439" s="12"/>
      <c r="U439" s="17"/>
    </row>
    <row r="440" spans="1:21" x14ac:dyDescent="0.2">
      <c r="A440" s="9"/>
      <c r="B440" s="14"/>
      <c r="C440" s="10"/>
      <c r="D440" s="9"/>
      <c r="E440" s="9"/>
      <c r="F440" s="9"/>
      <c r="G440" s="11"/>
      <c r="H440" s="11"/>
      <c r="I440" s="61"/>
      <c r="J440" s="9"/>
      <c r="K440" s="11"/>
      <c r="L440" s="9"/>
      <c r="M440" s="14"/>
      <c r="N440" s="12"/>
      <c r="O440" s="12"/>
      <c r="P440" s="13"/>
      <c r="Q440" s="9"/>
      <c r="R440" s="12"/>
      <c r="S440" s="12"/>
      <c r="T440" s="12"/>
      <c r="U440" s="17"/>
    </row>
    <row r="441" spans="1:21" x14ac:dyDescent="0.2">
      <c r="A441" s="9"/>
      <c r="B441" s="14"/>
      <c r="C441" s="10"/>
      <c r="D441" s="9"/>
      <c r="E441" s="9"/>
      <c r="F441" s="9"/>
      <c r="G441" s="11"/>
      <c r="H441" s="11"/>
      <c r="I441" s="61"/>
      <c r="J441" s="9"/>
      <c r="K441" s="11"/>
      <c r="L441" s="9"/>
      <c r="M441" s="14"/>
      <c r="N441" s="12"/>
      <c r="O441" s="12"/>
      <c r="P441" s="13"/>
      <c r="Q441" s="9"/>
      <c r="R441" s="12"/>
      <c r="S441" s="12"/>
      <c r="T441" s="12"/>
      <c r="U441" s="17"/>
    </row>
    <row r="442" spans="1:21" x14ac:dyDescent="0.2">
      <c r="A442" s="9"/>
      <c r="B442" s="14"/>
      <c r="C442" s="10"/>
      <c r="D442" s="9"/>
      <c r="E442" s="9"/>
      <c r="F442" s="9"/>
      <c r="G442" s="11"/>
      <c r="H442" s="11"/>
      <c r="I442" s="61"/>
      <c r="J442" s="9"/>
      <c r="K442" s="11"/>
      <c r="L442" s="9"/>
      <c r="M442" s="14"/>
      <c r="N442" s="12"/>
      <c r="O442" s="12"/>
      <c r="P442" s="13"/>
      <c r="Q442" s="9"/>
      <c r="R442" s="12"/>
      <c r="S442" s="12"/>
      <c r="T442" s="12"/>
      <c r="U442" s="17"/>
    </row>
    <row r="443" spans="1:21" x14ac:dyDescent="0.2">
      <c r="A443" s="9"/>
      <c r="B443" s="14"/>
      <c r="C443" s="10"/>
      <c r="D443" s="9"/>
      <c r="E443" s="9"/>
      <c r="F443" s="9"/>
      <c r="G443" s="11"/>
      <c r="H443" s="11"/>
      <c r="I443" s="61"/>
      <c r="J443" s="9"/>
      <c r="K443" s="11"/>
      <c r="L443" s="9"/>
      <c r="M443" s="14"/>
      <c r="N443" s="12"/>
      <c r="O443" s="12"/>
      <c r="P443" s="13"/>
      <c r="Q443" s="9"/>
      <c r="R443" s="12"/>
      <c r="S443" s="12"/>
      <c r="T443" s="12"/>
      <c r="U443" s="17"/>
    </row>
    <row r="444" spans="1:21" x14ac:dyDescent="0.2">
      <c r="A444" s="9"/>
      <c r="B444" s="14"/>
      <c r="C444" s="10"/>
      <c r="D444" s="9"/>
      <c r="E444" s="9"/>
      <c r="F444" s="9"/>
      <c r="G444" s="11"/>
      <c r="H444" s="11"/>
      <c r="I444" s="61"/>
      <c r="J444" s="9"/>
      <c r="K444" s="11"/>
      <c r="L444" s="9"/>
      <c r="M444" s="14"/>
      <c r="N444" s="12"/>
      <c r="O444" s="12"/>
      <c r="P444" s="13"/>
      <c r="Q444" s="9"/>
      <c r="R444" s="12"/>
      <c r="S444" s="12"/>
      <c r="T444" s="12"/>
      <c r="U444" s="17"/>
    </row>
    <row r="445" spans="1:21" x14ac:dyDescent="0.2">
      <c r="A445" s="9"/>
      <c r="B445" s="14"/>
      <c r="C445" s="10"/>
      <c r="D445" s="9"/>
      <c r="E445" s="9"/>
      <c r="F445" s="9"/>
      <c r="G445" s="11"/>
      <c r="H445" s="11"/>
      <c r="I445" s="61"/>
      <c r="J445" s="9"/>
      <c r="K445" s="11"/>
      <c r="L445" s="9"/>
      <c r="M445" s="14"/>
      <c r="N445" s="12"/>
      <c r="O445" s="12"/>
      <c r="P445" s="13"/>
      <c r="Q445" s="9"/>
      <c r="R445" s="12"/>
      <c r="S445" s="12"/>
      <c r="T445" s="12"/>
      <c r="U445" s="17"/>
    </row>
    <row r="446" spans="1:21" x14ac:dyDescent="0.2">
      <c r="A446" s="9"/>
      <c r="B446" s="14"/>
      <c r="C446" s="10"/>
      <c r="D446" s="9"/>
      <c r="E446" s="9"/>
      <c r="F446" s="9"/>
      <c r="G446" s="11"/>
      <c r="H446" s="11"/>
      <c r="I446" s="61"/>
      <c r="J446" s="9"/>
      <c r="K446" s="11"/>
      <c r="L446" s="9"/>
      <c r="M446" s="14"/>
      <c r="N446" s="12"/>
      <c r="O446" s="12"/>
      <c r="P446" s="13"/>
      <c r="Q446" s="9"/>
      <c r="R446" s="12"/>
      <c r="S446" s="12"/>
      <c r="T446" s="12"/>
      <c r="U446" s="17"/>
    </row>
    <row r="447" spans="1:21" x14ac:dyDescent="0.2">
      <c r="A447" s="9"/>
      <c r="B447" s="14"/>
      <c r="C447" s="10"/>
      <c r="D447" s="9"/>
      <c r="E447" s="9"/>
      <c r="F447" s="9"/>
      <c r="G447" s="11"/>
      <c r="H447" s="11"/>
      <c r="I447" s="61"/>
      <c r="J447" s="9"/>
      <c r="K447" s="11"/>
      <c r="L447" s="9"/>
      <c r="M447" s="14"/>
      <c r="N447" s="12"/>
      <c r="O447" s="12"/>
      <c r="P447" s="13"/>
      <c r="Q447" s="9"/>
      <c r="R447" s="12"/>
      <c r="S447" s="12"/>
      <c r="T447" s="12"/>
      <c r="U447" s="17"/>
    </row>
    <row r="448" spans="1:21" x14ac:dyDescent="0.2">
      <c r="A448" s="9"/>
      <c r="B448" s="14"/>
      <c r="C448" s="10"/>
      <c r="D448" s="9"/>
      <c r="E448" s="9"/>
      <c r="F448" s="9"/>
      <c r="G448" s="11"/>
      <c r="H448" s="11"/>
      <c r="I448" s="61"/>
      <c r="J448" s="9"/>
      <c r="K448" s="11"/>
      <c r="L448" s="9"/>
      <c r="M448" s="14"/>
      <c r="N448" s="12"/>
      <c r="O448" s="12"/>
      <c r="P448" s="13"/>
      <c r="Q448" s="9"/>
      <c r="R448" s="12"/>
      <c r="S448" s="12"/>
      <c r="T448" s="12"/>
      <c r="U448" s="17"/>
    </row>
    <row r="449" spans="1:21" x14ac:dyDescent="0.2">
      <c r="A449" s="9"/>
      <c r="B449" s="14"/>
      <c r="C449" s="10"/>
      <c r="D449" s="9"/>
      <c r="E449" s="9"/>
      <c r="F449" s="9"/>
      <c r="G449" s="11"/>
      <c r="H449" s="11"/>
      <c r="I449" s="61"/>
      <c r="J449" s="9"/>
      <c r="K449" s="11"/>
      <c r="L449" s="9"/>
      <c r="M449" s="14"/>
      <c r="N449" s="12"/>
      <c r="O449" s="12"/>
      <c r="P449" s="13"/>
      <c r="Q449" s="9"/>
      <c r="R449" s="12"/>
      <c r="S449" s="12"/>
      <c r="T449" s="12"/>
      <c r="U449" s="17"/>
    </row>
    <row r="450" spans="1:21" x14ac:dyDescent="0.2">
      <c r="A450" s="9"/>
      <c r="B450" s="14"/>
      <c r="C450" s="10"/>
      <c r="D450" s="9"/>
      <c r="E450" s="9"/>
      <c r="F450" s="9"/>
      <c r="G450" s="11"/>
      <c r="H450" s="11"/>
      <c r="I450" s="61"/>
      <c r="J450" s="9"/>
      <c r="K450" s="11"/>
      <c r="L450" s="9"/>
      <c r="M450" s="14"/>
      <c r="N450" s="12"/>
      <c r="O450" s="12"/>
      <c r="P450" s="13"/>
      <c r="Q450" s="9"/>
      <c r="R450" s="12"/>
      <c r="S450" s="12"/>
      <c r="T450" s="12"/>
      <c r="U450" s="17"/>
    </row>
    <row r="451" spans="1:21" x14ac:dyDescent="0.2">
      <c r="A451" s="9"/>
      <c r="B451" s="14"/>
      <c r="C451" s="10"/>
      <c r="D451" s="9"/>
      <c r="E451" s="9"/>
      <c r="F451" s="9"/>
      <c r="G451" s="11"/>
      <c r="H451" s="11"/>
      <c r="I451" s="61"/>
      <c r="J451" s="9"/>
      <c r="K451" s="11"/>
      <c r="L451" s="9"/>
      <c r="M451" s="14"/>
      <c r="N451" s="12"/>
      <c r="O451" s="12"/>
      <c r="P451" s="13"/>
      <c r="Q451" s="9"/>
      <c r="R451" s="12"/>
      <c r="S451" s="12"/>
      <c r="T451" s="12"/>
      <c r="U451" s="17"/>
    </row>
    <row r="452" spans="1:21" x14ac:dyDescent="0.2">
      <c r="A452" s="9"/>
      <c r="B452" s="14"/>
      <c r="C452" s="10"/>
      <c r="D452" s="9"/>
      <c r="E452" s="9"/>
      <c r="F452" s="9"/>
      <c r="G452" s="11"/>
      <c r="H452" s="11"/>
      <c r="I452" s="61"/>
      <c r="J452" s="9"/>
      <c r="K452" s="11"/>
      <c r="L452" s="9"/>
      <c r="M452" s="14"/>
      <c r="N452" s="12"/>
      <c r="O452" s="12"/>
      <c r="P452" s="13"/>
      <c r="Q452" s="9"/>
      <c r="R452" s="12"/>
      <c r="S452" s="12"/>
      <c r="T452" s="12"/>
      <c r="U452" s="17"/>
    </row>
    <row r="453" spans="1:21" x14ac:dyDescent="0.2">
      <c r="A453" s="9"/>
      <c r="B453" s="14"/>
      <c r="C453" s="10"/>
      <c r="D453" s="9"/>
      <c r="E453" s="9"/>
      <c r="F453" s="9"/>
      <c r="G453" s="11"/>
      <c r="H453" s="11"/>
      <c r="I453" s="61"/>
      <c r="J453" s="9"/>
      <c r="K453" s="11"/>
      <c r="L453" s="9"/>
      <c r="M453" s="14"/>
      <c r="N453" s="12"/>
      <c r="O453" s="12"/>
      <c r="P453" s="13"/>
      <c r="Q453" s="9"/>
      <c r="R453" s="12"/>
      <c r="S453" s="12"/>
      <c r="T453" s="12"/>
      <c r="U453" s="17"/>
    </row>
    <row r="454" spans="1:21" x14ac:dyDescent="0.2">
      <c r="A454" s="9"/>
      <c r="B454" s="14"/>
      <c r="C454" s="10"/>
      <c r="D454" s="9"/>
      <c r="E454" s="9"/>
      <c r="F454" s="9"/>
      <c r="G454" s="11"/>
      <c r="H454" s="11"/>
      <c r="I454" s="61"/>
      <c r="J454" s="9"/>
      <c r="K454" s="11"/>
      <c r="L454" s="9"/>
      <c r="M454" s="14"/>
      <c r="N454" s="12"/>
      <c r="O454" s="12"/>
      <c r="P454" s="13"/>
      <c r="Q454" s="9"/>
      <c r="R454" s="12"/>
      <c r="S454" s="12"/>
      <c r="T454" s="12"/>
      <c r="U454" s="17"/>
    </row>
    <row r="455" spans="1:21" x14ac:dyDescent="0.2">
      <c r="A455" s="9"/>
      <c r="B455" s="14"/>
      <c r="C455" s="10"/>
      <c r="D455" s="9"/>
      <c r="E455" s="9"/>
      <c r="F455" s="9"/>
      <c r="G455" s="11"/>
      <c r="H455" s="11"/>
      <c r="I455" s="61"/>
      <c r="J455" s="9"/>
      <c r="K455" s="11"/>
      <c r="L455" s="9"/>
      <c r="M455" s="14"/>
      <c r="N455" s="12"/>
      <c r="O455" s="12"/>
      <c r="P455" s="13"/>
      <c r="Q455" s="9"/>
      <c r="R455" s="12"/>
      <c r="S455" s="12"/>
      <c r="T455" s="12"/>
      <c r="U455" s="17"/>
    </row>
    <row r="456" spans="1:21" x14ac:dyDescent="0.2">
      <c r="A456" s="9"/>
      <c r="B456" s="14"/>
      <c r="C456" s="10"/>
      <c r="D456" s="9"/>
      <c r="E456" s="9"/>
      <c r="F456" s="9"/>
      <c r="G456" s="11"/>
      <c r="H456" s="11"/>
      <c r="I456" s="61"/>
      <c r="J456" s="9"/>
      <c r="K456" s="11"/>
      <c r="L456" s="9"/>
      <c r="M456" s="14"/>
      <c r="N456" s="12"/>
      <c r="O456" s="12"/>
      <c r="P456" s="13"/>
      <c r="Q456" s="9"/>
      <c r="R456" s="12"/>
      <c r="S456" s="12"/>
      <c r="T456" s="12"/>
      <c r="U456" s="17"/>
    </row>
    <row r="457" spans="1:21" x14ac:dyDescent="0.2">
      <c r="A457" s="9"/>
      <c r="B457" s="14"/>
      <c r="C457" s="10"/>
      <c r="D457" s="9"/>
      <c r="E457" s="9"/>
      <c r="F457" s="9"/>
      <c r="G457" s="11"/>
      <c r="H457" s="11"/>
      <c r="I457" s="61"/>
      <c r="J457" s="9"/>
      <c r="K457" s="11"/>
      <c r="L457" s="9"/>
      <c r="M457" s="14"/>
      <c r="N457" s="12"/>
      <c r="O457" s="12"/>
      <c r="P457" s="13"/>
      <c r="Q457" s="9"/>
      <c r="R457" s="12"/>
      <c r="S457" s="12"/>
      <c r="T457" s="12"/>
      <c r="U457" s="17"/>
    </row>
    <row r="458" spans="1:21" x14ac:dyDescent="0.2">
      <c r="A458" s="9"/>
      <c r="B458" s="14"/>
      <c r="C458" s="10"/>
      <c r="D458" s="9"/>
      <c r="E458" s="9"/>
      <c r="F458" s="9"/>
      <c r="G458" s="11"/>
      <c r="H458" s="11"/>
      <c r="I458" s="61"/>
      <c r="J458" s="9"/>
      <c r="K458" s="11"/>
      <c r="L458" s="9"/>
      <c r="M458" s="14"/>
      <c r="N458" s="12"/>
      <c r="O458" s="12"/>
      <c r="P458" s="13"/>
      <c r="Q458" s="9"/>
      <c r="R458" s="12"/>
      <c r="S458" s="12"/>
      <c r="T458" s="12"/>
      <c r="U458" s="17"/>
    </row>
    <row r="459" spans="1:21" x14ac:dyDescent="0.2">
      <c r="A459" s="9"/>
      <c r="B459" s="14"/>
      <c r="C459" s="10"/>
      <c r="D459" s="9"/>
      <c r="E459" s="9"/>
      <c r="F459" s="9"/>
      <c r="G459" s="11"/>
      <c r="H459" s="11"/>
      <c r="I459" s="61"/>
      <c r="J459" s="9"/>
      <c r="K459" s="11"/>
      <c r="L459" s="9"/>
      <c r="M459" s="14"/>
      <c r="N459" s="12"/>
      <c r="O459" s="12"/>
      <c r="P459" s="13"/>
      <c r="Q459" s="9"/>
      <c r="R459" s="12"/>
      <c r="S459" s="12"/>
      <c r="T459" s="12"/>
      <c r="U459" s="17"/>
    </row>
    <row r="460" spans="1:21" x14ac:dyDescent="0.2">
      <c r="A460" s="9"/>
      <c r="B460" s="14"/>
      <c r="C460" s="10"/>
      <c r="D460" s="9"/>
      <c r="E460" s="9"/>
      <c r="F460" s="9"/>
      <c r="G460" s="11"/>
      <c r="H460" s="11"/>
      <c r="I460" s="61"/>
      <c r="J460" s="9"/>
      <c r="K460" s="11"/>
      <c r="L460" s="9"/>
      <c r="M460" s="14"/>
      <c r="N460" s="12"/>
      <c r="O460" s="12"/>
      <c r="P460" s="13"/>
      <c r="Q460" s="9"/>
      <c r="R460" s="12"/>
      <c r="S460" s="12"/>
      <c r="T460" s="12"/>
      <c r="U460" s="17"/>
    </row>
    <row r="461" spans="1:21" x14ac:dyDescent="0.2">
      <c r="A461" s="9"/>
      <c r="B461" s="14"/>
      <c r="C461" s="10"/>
      <c r="D461" s="9"/>
      <c r="E461" s="9"/>
      <c r="F461" s="9"/>
      <c r="G461" s="11"/>
      <c r="H461" s="11"/>
      <c r="I461" s="61"/>
      <c r="J461" s="9"/>
      <c r="K461" s="11"/>
      <c r="L461" s="9"/>
      <c r="M461" s="14"/>
      <c r="N461" s="12"/>
      <c r="O461" s="12"/>
      <c r="P461" s="13"/>
      <c r="Q461" s="9"/>
      <c r="R461" s="12"/>
      <c r="S461" s="12"/>
      <c r="T461" s="12"/>
      <c r="U461" s="17"/>
    </row>
    <row r="462" spans="1:21" x14ac:dyDescent="0.2">
      <c r="A462" s="9"/>
      <c r="B462" s="14"/>
      <c r="C462" s="10"/>
      <c r="D462" s="9"/>
      <c r="E462" s="9"/>
      <c r="F462" s="9"/>
      <c r="G462" s="11"/>
      <c r="H462" s="11"/>
      <c r="I462" s="61"/>
      <c r="J462" s="9"/>
      <c r="K462" s="11"/>
      <c r="L462" s="9"/>
      <c r="M462" s="14"/>
      <c r="N462" s="12"/>
      <c r="O462" s="12"/>
      <c r="P462" s="13"/>
      <c r="Q462" s="9"/>
      <c r="R462" s="12"/>
      <c r="S462" s="12"/>
      <c r="T462" s="12"/>
      <c r="U462" s="17"/>
    </row>
    <row r="463" spans="1:21" x14ac:dyDescent="0.2">
      <c r="A463" s="9"/>
      <c r="B463" s="14"/>
      <c r="C463" s="10"/>
      <c r="D463" s="9"/>
      <c r="E463" s="9"/>
      <c r="F463" s="9"/>
      <c r="G463" s="11"/>
      <c r="H463" s="11"/>
      <c r="I463" s="61"/>
      <c r="J463" s="9"/>
      <c r="K463" s="11"/>
      <c r="L463" s="9"/>
      <c r="M463" s="14"/>
      <c r="N463" s="12"/>
      <c r="O463" s="12"/>
      <c r="P463" s="13"/>
      <c r="Q463" s="9"/>
      <c r="R463" s="12"/>
      <c r="S463" s="12"/>
      <c r="T463" s="12"/>
      <c r="U463" s="17"/>
    </row>
    <row r="464" spans="1:21" x14ac:dyDescent="0.2">
      <c r="A464" s="9"/>
      <c r="B464" s="14"/>
      <c r="C464" s="10"/>
      <c r="D464" s="9"/>
      <c r="E464" s="9"/>
      <c r="F464" s="9"/>
      <c r="G464" s="11"/>
      <c r="H464" s="11"/>
      <c r="I464" s="61"/>
      <c r="J464" s="9"/>
      <c r="K464" s="11"/>
      <c r="L464" s="9"/>
      <c r="M464" s="14"/>
      <c r="N464" s="12"/>
      <c r="O464" s="12"/>
      <c r="P464" s="13"/>
      <c r="Q464" s="9"/>
      <c r="R464" s="12"/>
      <c r="S464" s="12"/>
      <c r="T464" s="12"/>
      <c r="U464" s="17"/>
    </row>
    <row r="465" spans="1:21" x14ac:dyDescent="0.2">
      <c r="A465" s="9"/>
      <c r="B465" s="14"/>
      <c r="C465" s="10"/>
      <c r="D465" s="9"/>
      <c r="E465" s="9"/>
      <c r="F465" s="9"/>
      <c r="G465" s="11"/>
      <c r="H465" s="11"/>
      <c r="I465" s="61"/>
      <c r="J465" s="9"/>
      <c r="K465" s="11"/>
      <c r="L465" s="9"/>
      <c r="M465" s="14"/>
      <c r="N465" s="12"/>
      <c r="O465" s="12"/>
      <c r="P465" s="13"/>
      <c r="Q465" s="9"/>
      <c r="R465" s="12"/>
      <c r="S465" s="12"/>
      <c r="T465" s="12"/>
      <c r="U465" s="17"/>
    </row>
    <row r="466" spans="1:21" x14ac:dyDescent="0.2">
      <c r="A466" s="9"/>
      <c r="B466" s="14"/>
      <c r="C466" s="10"/>
      <c r="D466" s="9"/>
      <c r="E466" s="9"/>
      <c r="F466" s="9"/>
      <c r="G466" s="11"/>
      <c r="H466" s="11"/>
      <c r="I466" s="61"/>
      <c r="J466" s="9"/>
      <c r="K466" s="11"/>
      <c r="L466" s="9"/>
      <c r="M466" s="14"/>
      <c r="N466" s="12"/>
      <c r="O466" s="12"/>
      <c r="P466" s="13"/>
      <c r="Q466" s="9"/>
      <c r="R466" s="12"/>
      <c r="S466" s="12"/>
      <c r="T466" s="12"/>
      <c r="U466" s="17"/>
    </row>
    <row r="467" spans="1:21" x14ac:dyDescent="0.2">
      <c r="A467" s="9"/>
      <c r="B467" s="14"/>
      <c r="C467" s="10"/>
      <c r="D467" s="9"/>
      <c r="E467" s="9"/>
      <c r="F467" s="9"/>
      <c r="G467" s="11"/>
      <c r="H467" s="11"/>
      <c r="I467" s="61"/>
      <c r="J467" s="9"/>
      <c r="K467" s="11"/>
      <c r="L467" s="9"/>
      <c r="M467" s="14"/>
      <c r="N467" s="12"/>
      <c r="O467" s="12"/>
      <c r="P467" s="13"/>
      <c r="Q467" s="9"/>
      <c r="R467" s="12"/>
      <c r="S467" s="12"/>
      <c r="T467" s="12"/>
      <c r="U467" s="17"/>
    </row>
    <row r="468" spans="1:21" x14ac:dyDescent="0.2">
      <c r="A468" s="9"/>
      <c r="B468" s="14"/>
      <c r="C468" s="10"/>
      <c r="D468" s="9"/>
      <c r="E468" s="9"/>
      <c r="F468" s="9"/>
      <c r="G468" s="11"/>
      <c r="H468" s="11"/>
      <c r="I468" s="61"/>
      <c r="J468" s="9"/>
      <c r="K468" s="11"/>
      <c r="L468" s="9"/>
      <c r="M468" s="14"/>
      <c r="N468" s="12"/>
      <c r="O468" s="12"/>
      <c r="P468" s="13"/>
      <c r="Q468" s="9"/>
      <c r="R468" s="12"/>
      <c r="S468" s="12"/>
      <c r="T468" s="12"/>
      <c r="U468" s="17"/>
    </row>
    <row r="469" spans="1:21" x14ac:dyDescent="0.2">
      <c r="A469" s="9"/>
      <c r="B469" s="14"/>
      <c r="C469" s="10"/>
      <c r="D469" s="9"/>
      <c r="E469" s="9"/>
      <c r="F469" s="9"/>
      <c r="G469" s="11"/>
      <c r="H469" s="11"/>
      <c r="I469" s="61"/>
      <c r="J469" s="9"/>
      <c r="K469" s="11"/>
      <c r="L469" s="9"/>
      <c r="M469" s="14"/>
      <c r="N469" s="12"/>
      <c r="O469" s="12"/>
      <c r="P469" s="13"/>
      <c r="Q469" s="9"/>
      <c r="R469" s="12"/>
      <c r="S469" s="12"/>
      <c r="T469" s="12"/>
      <c r="U469" s="17"/>
    </row>
    <row r="470" spans="1:21" x14ac:dyDescent="0.2">
      <c r="A470" s="9"/>
      <c r="B470" s="14"/>
      <c r="C470" s="10"/>
      <c r="D470" s="9"/>
      <c r="E470" s="9"/>
      <c r="F470" s="9"/>
      <c r="G470" s="11"/>
      <c r="H470" s="11"/>
      <c r="I470" s="61"/>
      <c r="J470" s="9"/>
      <c r="K470" s="11"/>
      <c r="L470" s="9"/>
      <c r="M470" s="14"/>
      <c r="N470" s="12"/>
      <c r="O470" s="12"/>
      <c r="P470" s="13"/>
      <c r="Q470" s="9"/>
      <c r="R470" s="12"/>
      <c r="S470" s="12"/>
      <c r="T470" s="12"/>
      <c r="U470" s="17"/>
    </row>
    <row r="471" spans="1:21" x14ac:dyDescent="0.2">
      <c r="A471" s="9"/>
      <c r="B471" s="14"/>
      <c r="C471" s="10"/>
      <c r="D471" s="9"/>
      <c r="E471" s="9"/>
      <c r="F471" s="9"/>
      <c r="G471" s="11"/>
      <c r="H471" s="11"/>
      <c r="I471" s="61"/>
      <c r="J471" s="9"/>
      <c r="K471" s="11"/>
      <c r="L471" s="9"/>
      <c r="M471" s="14"/>
      <c r="N471" s="12"/>
      <c r="O471" s="12"/>
      <c r="P471" s="13"/>
      <c r="Q471" s="9"/>
      <c r="R471" s="12"/>
      <c r="S471" s="12"/>
      <c r="T471" s="12"/>
      <c r="U471" s="17"/>
    </row>
    <row r="472" spans="1:21" x14ac:dyDescent="0.2">
      <c r="A472" s="9"/>
      <c r="B472" s="14"/>
      <c r="C472" s="10"/>
      <c r="D472" s="9"/>
      <c r="E472" s="9"/>
      <c r="F472" s="9"/>
      <c r="G472" s="11"/>
      <c r="H472" s="11"/>
      <c r="I472" s="61"/>
      <c r="J472" s="9"/>
      <c r="K472" s="11"/>
      <c r="L472" s="9"/>
      <c r="M472" s="14"/>
      <c r="N472" s="12"/>
      <c r="O472" s="12"/>
      <c r="P472" s="13"/>
      <c r="Q472" s="9"/>
      <c r="R472" s="12"/>
      <c r="S472" s="12"/>
      <c r="T472" s="12"/>
      <c r="U472" s="17"/>
    </row>
    <row r="473" spans="1:21" x14ac:dyDescent="0.2">
      <c r="A473" s="9"/>
      <c r="B473" s="14"/>
      <c r="C473" s="10"/>
      <c r="D473" s="9"/>
      <c r="E473" s="9"/>
      <c r="F473" s="9"/>
      <c r="G473" s="11"/>
      <c r="H473" s="11"/>
      <c r="I473" s="61"/>
      <c r="J473" s="9"/>
      <c r="K473" s="11"/>
      <c r="L473" s="9"/>
      <c r="M473" s="14"/>
      <c r="N473" s="12"/>
      <c r="O473" s="12"/>
      <c r="P473" s="13"/>
      <c r="Q473" s="9"/>
      <c r="R473" s="12"/>
      <c r="S473" s="12"/>
      <c r="T473" s="12"/>
      <c r="U473" s="17"/>
    </row>
    <row r="474" spans="1:21" x14ac:dyDescent="0.2">
      <c r="A474" s="9"/>
      <c r="B474" s="14"/>
      <c r="C474" s="10"/>
      <c r="D474" s="9"/>
      <c r="E474" s="9"/>
      <c r="F474" s="9"/>
      <c r="G474" s="11"/>
      <c r="H474" s="11"/>
      <c r="I474" s="61"/>
      <c r="J474" s="9"/>
      <c r="K474" s="11"/>
      <c r="L474" s="9"/>
      <c r="M474" s="14"/>
      <c r="N474" s="12"/>
      <c r="O474" s="12"/>
      <c r="P474" s="13"/>
      <c r="Q474" s="9"/>
      <c r="R474" s="12"/>
      <c r="S474" s="12"/>
      <c r="T474" s="12"/>
      <c r="U474" s="17"/>
    </row>
    <row r="475" spans="1:21" x14ac:dyDescent="0.2">
      <c r="A475" s="9"/>
      <c r="B475" s="14"/>
      <c r="C475" s="10"/>
      <c r="D475" s="9"/>
      <c r="E475" s="9"/>
      <c r="F475" s="9"/>
      <c r="G475" s="11"/>
      <c r="H475" s="11"/>
      <c r="I475" s="61"/>
      <c r="J475" s="9"/>
      <c r="K475" s="11"/>
      <c r="L475" s="9"/>
      <c r="M475" s="14"/>
      <c r="N475" s="12"/>
      <c r="O475" s="12"/>
      <c r="P475" s="13"/>
      <c r="Q475" s="9"/>
      <c r="R475" s="12"/>
      <c r="S475" s="12"/>
      <c r="T475" s="12"/>
      <c r="U475" s="17"/>
    </row>
    <row r="476" spans="1:21" x14ac:dyDescent="0.2">
      <c r="A476" s="9"/>
      <c r="B476" s="14"/>
      <c r="C476" s="10"/>
      <c r="D476" s="9"/>
      <c r="E476" s="9"/>
      <c r="F476" s="9"/>
      <c r="G476" s="11"/>
      <c r="H476" s="11"/>
      <c r="I476" s="61"/>
      <c r="J476" s="9"/>
      <c r="K476" s="11"/>
      <c r="L476" s="9"/>
      <c r="M476" s="14"/>
      <c r="N476" s="12"/>
      <c r="O476" s="12"/>
      <c r="P476" s="13"/>
      <c r="Q476" s="9"/>
      <c r="R476" s="12"/>
      <c r="S476" s="12"/>
      <c r="T476" s="12"/>
      <c r="U476" s="17"/>
    </row>
    <row r="477" spans="1:21" x14ac:dyDescent="0.2">
      <c r="A477" s="9"/>
      <c r="B477" s="14"/>
      <c r="C477" s="10"/>
      <c r="D477" s="9"/>
      <c r="E477" s="9"/>
      <c r="F477" s="9"/>
      <c r="G477" s="11"/>
      <c r="H477" s="11"/>
      <c r="I477" s="61"/>
      <c r="J477" s="9"/>
      <c r="K477" s="11"/>
      <c r="L477" s="9"/>
      <c r="M477" s="14"/>
      <c r="N477" s="12"/>
      <c r="O477" s="12"/>
      <c r="P477" s="13"/>
      <c r="Q477" s="9"/>
      <c r="R477" s="12"/>
      <c r="S477" s="12"/>
      <c r="T477" s="12"/>
      <c r="U477" s="17"/>
    </row>
    <row r="478" spans="1:21" x14ac:dyDescent="0.2">
      <c r="A478" s="9"/>
      <c r="B478" s="14"/>
      <c r="C478" s="10"/>
      <c r="D478" s="9"/>
      <c r="E478" s="9"/>
      <c r="F478" s="9"/>
      <c r="G478" s="11"/>
      <c r="H478" s="11"/>
      <c r="I478" s="61"/>
      <c r="J478" s="9"/>
      <c r="K478" s="11"/>
      <c r="L478" s="9"/>
      <c r="M478" s="14"/>
      <c r="N478" s="12"/>
      <c r="O478" s="12"/>
      <c r="P478" s="13"/>
      <c r="Q478" s="9"/>
      <c r="R478" s="12"/>
      <c r="S478" s="12"/>
      <c r="T478" s="12"/>
      <c r="U478" s="17"/>
    </row>
    <row r="479" spans="1:21" x14ac:dyDescent="0.2">
      <c r="A479" s="9"/>
      <c r="B479" s="14"/>
      <c r="C479" s="10"/>
      <c r="D479" s="9"/>
      <c r="E479" s="9"/>
      <c r="F479" s="9"/>
      <c r="G479" s="11"/>
      <c r="H479" s="11"/>
      <c r="I479" s="61"/>
      <c r="J479" s="9"/>
      <c r="K479" s="11"/>
      <c r="L479" s="9"/>
      <c r="M479" s="14"/>
      <c r="N479" s="12"/>
      <c r="O479" s="12"/>
      <c r="P479" s="13"/>
      <c r="Q479" s="9"/>
      <c r="R479" s="12"/>
      <c r="S479" s="12"/>
      <c r="T479" s="12"/>
      <c r="U479" s="17"/>
    </row>
    <row r="480" spans="1:21" x14ac:dyDescent="0.2">
      <c r="A480" s="9"/>
      <c r="B480" s="14"/>
      <c r="C480" s="10"/>
      <c r="D480" s="9"/>
      <c r="E480" s="9"/>
      <c r="F480" s="9"/>
      <c r="G480" s="11"/>
      <c r="H480" s="11"/>
      <c r="I480" s="61"/>
      <c r="J480" s="9"/>
      <c r="K480" s="11"/>
      <c r="L480" s="9"/>
      <c r="M480" s="14"/>
      <c r="N480" s="12"/>
      <c r="O480" s="12"/>
      <c r="P480" s="13"/>
      <c r="Q480" s="9"/>
      <c r="R480" s="12"/>
      <c r="S480" s="12"/>
      <c r="T480" s="12"/>
      <c r="U480" s="17"/>
    </row>
    <row r="481" spans="1:21" x14ac:dyDescent="0.2">
      <c r="A481" s="9"/>
      <c r="B481" s="14"/>
      <c r="C481" s="10"/>
      <c r="D481" s="9"/>
      <c r="E481" s="9"/>
      <c r="F481" s="9"/>
      <c r="G481" s="11"/>
      <c r="H481" s="11"/>
      <c r="I481" s="61"/>
      <c r="J481" s="9"/>
      <c r="K481" s="11"/>
      <c r="L481" s="9"/>
      <c r="M481" s="14"/>
      <c r="N481" s="12"/>
      <c r="O481" s="12"/>
      <c r="P481" s="13"/>
      <c r="Q481" s="9"/>
      <c r="R481" s="12"/>
      <c r="S481" s="12"/>
      <c r="T481" s="12"/>
      <c r="U481" s="17"/>
    </row>
    <row r="482" spans="1:21" x14ac:dyDescent="0.2">
      <c r="A482" s="9"/>
      <c r="B482" s="14"/>
      <c r="C482" s="10"/>
      <c r="D482" s="9"/>
      <c r="E482" s="9"/>
      <c r="F482" s="9"/>
      <c r="G482" s="11"/>
      <c r="H482" s="11"/>
      <c r="I482" s="61"/>
      <c r="J482" s="9"/>
      <c r="K482" s="11"/>
      <c r="L482" s="9"/>
      <c r="M482" s="14"/>
      <c r="N482" s="12"/>
      <c r="O482" s="12"/>
      <c r="P482" s="13"/>
      <c r="Q482" s="9"/>
      <c r="R482" s="12"/>
      <c r="S482" s="12"/>
      <c r="T482" s="12"/>
      <c r="U482" s="17"/>
    </row>
    <row r="483" spans="1:21" x14ac:dyDescent="0.2">
      <c r="A483" s="9"/>
      <c r="B483" s="14"/>
      <c r="C483" s="10"/>
      <c r="D483" s="9"/>
      <c r="E483" s="9"/>
      <c r="F483" s="9"/>
      <c r="G483" s="11"/>
      <c r="H483" s="11"/>
      <c r="I483" s="61"/>
      <c r="J483" s="9"/>
      <c r="K483" s="11"/>
      <c r="L483" s="9"/>
      <c r="M483" s="14"/>
      <c r="N483" s="12"/>
      <c r="O483" s="12"/>
      <c r="P483" s="13"/>
      <c r="Q483" s="9"/>
      <c r="R483" s="12"/>
      <c r="S483" s="12"/>
      <c r="T483" s="12"/>
      <c r="U483" s="17"/>
    </row>
    <row r="484" spans="1:21" x14ac:dyDescent="0.2">
      <c r="A484" s="9"/>
      <c r="B484" s="14"/>
      <c r="C484" s="10"/>
      <c r="D484" s="9"/>
      <c r="E484" s="9"/>
      <c r="F484" s="9"/>
      <c r="G484" s="11"/>
      <c r="H484" s="11"/>
      <c r="I484" s="61"/>
      <c r="J484" s="9"/>
      <c r="K484" s="11"/>
      <c r="L484" s="9"/>
      <c r="M484" s="14"/>
      <c r="N484" s="12"/>
      <c r="O484" s="12"/>
      <c r="P484" s="13"/>
      <c r="Q484" s="9"/>
      <c r="R484" s="12"/>
      <c r="S484" s="12"/>
      <c r="T484" s="12"/>
      <c r="U484" s="17"/>
    </row>
    <row r="485" spans="1:21" x14ac:dyDescent="0.2">
      <c r="A485" s="9"/>
      <c r="B485" s="14"/>
      <c r="C485" s="10"/>
      <c r="D485" s="9"/>
      <c r="E485" s="9"/>
      <c r="F485" s="9"/>
      <c r="G485" s="11"/>
      <c r="H485" s="11"/>
      <c r="I485" s="61"/>
      <c r="J485" s="9"/>
      <c r="K485" s="11"/>
      <c r="L485" s="9"/>
      <c r="M485" s="14"/>
      <c r="N485" s="12"/>
      <c r="O485" s="12"/>
      <c r="P485" s="13"/>
      <c r="Q485" s="9"/>
      <c r="R485" s="12"/>
      <c r="S485" s="12"/>
      <c r="T485" s="12"/>
      <c r="U485" s="17"/>
    </row>
    <row r="486" spans="1:21" x14ac:dyDescent="0.2">
      <c r="A486" s="9"/>
      <c r="B486" s="14"/>
      <c r="C486" s="10"/>
      <c r="D486" s="9"/>
      <c r="E486" s="9"/>
      <c r="F486" s="9"/>
      <c r="G486" s="11"/>
      <c r="H486" s="11"/>
      <c r="I486" s="61"/>
      <c r="J486" s="9"/>
      <c r="K486" s="11"/>
      <c r="L486" s="9"/>
      <c r="M486" s="14"/>
      <c r="N486" s="12"/>
      <c r="O486" s="12"/>
      <c r="P486" s="13"/>
      <c r="Q486" s="9"/>
      <c r="R486" s="12"/>
      <c r="S486" s="12"/>
      <c r="T486" s="12"/>
      <c r="U486" s="17"/>
    </row>
    <row r="487" spans="1:21" x14ac:dyDescent="0.2">
      <c r="A487" s="9"/>
      <c r="B487" s="14"/>
      <c r="C487" s="10"/>
      <c r="D487" s="9"/>
      <c r="E487" s="9"/>
      <c r="F487" s="9"/>
      <c r="G487" s="11"/>
      <c r="H487" s="11"/>
      <c r="I487" s="61"/>
      <c r="J487" s="9"/>
      <c r="K487" s="11"/>
      <c r="L487" s="9"/>
      <c r="M487" s="14"/>
      <c r="N487" s="12"/>
      <c r="O487" s="12"/>
      <c r="P487" s="13"/>
      <c r="Q487" s="9"/>
      <c r="R487" s="12"/>
      <c r="S487" s="12"/>
      <c r="T487" s="12"/>
      <c r="U487" s="17"/>
    </row>
    <row r="488" spans="1:21" x14ac:dyDescent="0.2">
      <c r="A488" s="9"/>
      <c r="B488" s="14"/>
      <c r="C488" s="10"/>
      <c r="D488" s="9"/>
      <c r="E488" s="9"/>
      <c r="F488" s="9"/>
      <c r="G488" s="11"/>
      <c r="H488" s="11"/>
      <c r="I488" s="61"/>
      <c r="J488" s="9"/>
      <c r="K488" s="11"/>
      <c r="L488" s="9"/>
      <c r="M488" s="14"/>
      <c r="N488" s="12"/>
      <c r="O488" s="12"/>
      <c r="P488" s="13"/>
      <c r="Q488" s="9"/>
      <c r="R488" s="12"/>
      <c r="S488" s="12"/>
      <c r="T488" s="12"/>
      <c r="U488" s="17"/>
    </row>
    <row r="489" spans="1:21" x14ac:dyDescent="0.2">
      <c r="A489" s="9"/>
      <c r="B489" s="14"/>
      <c r="C489" s="10"/>
      <c r="D489" s="9"/>
      <c r="E489" s="9"/>
      <c r="F489" s="9"/>
      <c r="G489" s="11"/>
      <c r="H489" s="11"/>
      <c r="I489" s="61"/>
      <c r="J489" s="9"/>
      <c r="K489" s="11"/>
      <c r="L489" s="9"/>
      <c r="M489" s="14"/>
      <c r="N489" s="12"/>
      <c r="O489" s="12"/>
      <c r="P489" s="13"/>
      <c r="Q489" s="9"/>
      <c r="R489" s="12"/>
      <c r="S489" s="12"/>
      <c r="T489" s="12"/>
      <c r="U489" s="17"/>
    </row>
    <row r="490" spans="1:21" x14ac:dyDescent="0.2">
      <c r="A490" s="9"/>
      <c r="B490" s="14"/>
      <c r="C490" s="10"/>
      <c r="D490" s="9"/>
      <c r="E490" s="9"/>
      <c r="F490" s="9"/>
      <c r="G490" s="11"/>
      <c r="H490" s="11"/>
      <c r="I490" s="61"/>
      <c r="J490" s="9"/>
      <c r="K490" s="11"/>
      <c r="L490" s="9"/>
      <c r="M490" s="14"/>
      <c r="N490" s="12"/>
      <c r="O490" s="12"/>
      <c r="P490" s="13"/>
      <c r="Q490" s="9"/>
      <c r="R490" s="12"/>
      <c r="S490" s="12"/>
      <c r="T490" s="12"/>
      <c r="U490" s="17"/>
    </row>
    <row r="491" spans="1:21" x14ac:dyDescent="0.2">
      <c r="A491" s="9"/>
      <c r="B491" s="14"/>
      <c r="C491" s="10"/>
      <c r="D491" s="9"/>
      <c r="E491" s="9"/>
      <c r="F491" s="9"/>
      <c r="G491" s="11"/>
      <c r="H491" s="11"/>
      <c r="I491" s="61"/>
      <c r="J491" s="9"/>
      <c r="K491" s="11"/>
      <c r="L491" s="9"/>
      <c r="M491" s="14"/>
      <c r="N491" s="12"/>
      <c r="O491" s="12"/>
      <c r="P491" s="13"/>
      <c r="Q491" s="9"/>
      <c r="R491" s="12"/>
      <c r="S491" s="12"/>
      <c r="T491" s="12"/>
      <c r="U491" s="17"/>
    </row>
    <row r="492" spans="1:21" x14ac:dyDescent="0.2">
      <c r="A492" s="9"/>
      <c r="B492" s="14"/>
      <c r="C492" s="10"/>
      <c r="D492" s="9"/>
      <c r="E492" s="9"/>
      <c r="F492" s="9"/>
      <c r="G492" s="11"/>
      <c r="H492" s="11"/>
      <c r="I492" s="61"/>
      <c r="J492" s="9"/>
      <c r="K492" s="11"/>
      <c r="L492" s="9"/>
      <c r="M492" s="14"/>
      <c r="N492" s="12"/>
      <c r="O492" s="12"/>
      <c r="P492" s="13"/>
      <c r="Q492" s="9"/>
      <c r="R492" s="12"/>
      <c r="S492" s="12"/>
      <c r="T492" s="12"/>
      <c r="U492" s="17"/>
    </row>
    <row r="493" spans="1:21" x14ac:dyDescent="0.2">
      <c r="A493" s="9"/>
      <c r="B493" s="14"/>
      <c r="C493" s="10"/>
      <c r="D493" s="9"/>
      <c r="E493" s="9"/>
      <c r="F493" s="9"/>
      <c r="G493" s="11"/>
      <c r="H493" s="11"/>
      <c r="I493" s="61"/>
      <c r="J493" s="9"/>
      <c r="K493" s="11"/>
      <c r="L493" s="9"/>
      <c r="M493" s="14"/>
      <c r="N493" s="12"/>
      <c r="O493" s="12"/>
      <c r="P493" s="13"/>
      <c r="Q493" s="9"/>
      <c r="R493" s="12"/>
      <c r="S493" s="12"/>
      <c r="T493" s="12"/>
      <c r="U493" s="17"/>
    </row>
    <row r="494" spans="1:21" x14ac:dyDescent="0.2">
      <c r="A494" s="9"/>
      <c r="B494" s="14"/>
      <c r="C494" s="10"/>
      <c r="D494" s="9"/>
      <c r="E494" s="9"/>
      <c r="F494" s="9"/>
      <c r="G494" s="11"/>
      <c r="H494" s="11"/>
      <c r="I494" s="61"/>
      <c r="J494" s="9"/>
      <c r="K494" s="11"/>
      <c r="L494" s="9"/>
      <c r="M494" s="14"/>
      <c r="N494" s="12"/>
      <c r="O494" s="12"/>
      <c r="P494" s="13"/>
      <c r="Q494" s="9"/>
      <c r="R494" s="12"/>
      <c r="S494" s="12"/>
      <c r="T494" s="12"/>
      <c r="U494" s="17"/>
    </row>
    <row r="495" spans="1:21" x14ac:dyDescent="0.2">
      <c r="A495" s="9"/>
      <c r="B495" s="14"/>
      <c r="C495" s="10"/>
      <c r="D495" s="9"/>
      <c r="E495" s="9"/>
      <c r="F495" s="9"/>
      <c r="G495" s="11"/>
      <c r="H495" s="11"/>
      <c r="I495" s="61"/>
      <c r="J495" s="9"/>
      <c r="K495" s="11"/>
      <c r="L495" s="9"/>
      <c r="M495" s="14"/>
      <c r="N495" s="12"/>
      <c r="O495" s="12"/>
      <c r="P495" s="13"/>
      <c r="Q495" s="9"/>
      <c r="R495" s="12"/>
      <c r="S495" s="12"/>
      <c r="T495" s="12"/>
      <c r="U495" s="17"/>
    </row>
    <row r="496" spans="1:21" x14ac:dyDescent="0.2">
      <c r="A496" s="9"/>
      <c r="B496" s="14"/>
      <c r="C496" s="10"/>
      <c r="D496" s="9"/>
      <c r="E496" s="9"/>
      <c r="F496" s="9"/>
      <c r="G496" s="11"/>
      <c r="H496" s="11"/>
      <c r="I496" s="61"/>
      <c r="J496" s="9"/>
      <c r="K496" s="11"/>
      <c r="L496" s="9"/>
      <c r="M496" s="14"/>
      <c r="N496" s="12"/>
      <c r="O496" s="12"/>
      <c r="P496" s="13"/>
      <c r="Q496" s="9"/>
      <c r="R496" s="12"/>
      <c r="S496" s="12"/>
      <c r="T496" s="12"/>
      <c r="U496" s="17"/>
    </row>
    <row r="497" spans="1:21" x14ac:dyDescent="0.2">
      <c r="A497" s="9"/>
      <c r="B497" s="14"/>
      <c r="C497" s="10"/>
      <c r="D497" s="9"/>
      <c r="E497" s="9"/>
      <c r="F497" s="9"/>
      <c r="G497" s="11"/>
      <c r="H497" s="11"/>
      <c r="I497" s="61"/>
      <c r="J497" s="9"/>
      <c r="K497" s="11"/>
      <c r="L497" s="9"/>
      <c r="M497" s="14"/>
      <c r="N497" s="12"/>
      <c r="O497" s="12"/>
      <c r="P497" s="13"/>
      <c r="Q497" s="9"/>
      <c r="R497" s="12"/>
      <c r="S497" s="12"/>
      <c r="T497" s="12"/>
      <c r="U497" s="17"/>
    </row>
    <row r="498" spans="1:21" x14ac:dyDescent="0.2">
      <c r="A498" s="9"/>
      <c r="B498" s="14"/>
      <c r="C498" s="10"/>
      <c r="D498" s="9"/>
      <c r="E498" s="9"/>
      <c r="F498" s="9"/>
      <c r="G498" s="11"/>
      <c r="H498" s="11"/>
      <c r="I498" s="61"/>
      <c r="J498" s="9"/>
      <c r="K498" s="11"/>
      <c r="L498" s="9"/>
      <c r="M498" s="14"/>
      <c r="N498" s="12"/>
      <c r="O498" s="12"/>
      <c r="P498" s="13"/>
      <c r="Q498" s="9"/>
      <c r="R498" s="12"/>
      <c r="S498" s="12"/>
      <c r="T498" s="12"/>
      <c r="U498" s="17"/>
    </row>
    <row r="499" spans="1:21" x14ac:dyDescent="0.2">
      <c r="A499" s="9"/>
      <c r="B499" s="14"/>
      <c r="C499" s="10"/>
      <c r="D499" s="9"/>
      <c r="E499" s="9"/>
      <c r="F499" s="9"/>
      <c r="G499" s="11"/>
      <c r="H499" s="11"/>
      <c r="I499" s="61"/>
      <c r="J499" s="9"/>
      <c r="K499" s="11"/>
      <c r="L499" s="9"/>
      <c r="M499" s="14"/>
      <c r="N499" s="12"/>
      <c r="O499" s="12"/>
      <c r="P499" s="13"/>
      <c r="Q499" s="9"/>
      <c r="R499" s="12"/>
      <c r="S499" s="12"/>
      <c r="T499" s="12"/>
      <c r="U499" s="17"/>
    </row>
    <row r="500" spans="1:21" x14ac:dyDescent="0.2">
      <c r="A500" s="9"/>
      <c r="B500" s="14"/>
      <c r="C500" s="10"/>
      <c r="D500" s="9"/>
      <c r="E500" s="9"/>
      <c r="F500" s="9"/>
      <c r="G500" s="11"/>
      <c r="H500" s="11"/>
      <c r="I500" s="61"/>
      <c r="J500" s="9"/>
      <c r="K500" s="11"/>
      <c r="L500" s="9"/>
      <c r="M500" s="14"/>
      <c r="N500" s="12"/>
      <c r="O500" s="12"/>
      <c r="P500" s="13"/>
      <c r="Q500" s="9"/>
      <c r="R500" s="12"/>
      <c r="S500" s="12"/>
      <c r="T500" s="12"/>
      <c r="U500" s="17"/>
    </row>
    <row r="501" spans="1:21" x14ac:dyDescent="0.2">
      <c r="A501" s="9"/>
      <c r="B501" s="14"/>
      <c r="C501" s="10"/>
      <c r="D501" s="9"/>
      <c r="E501" s="9"/>
      <c r="F501" s="9"/>
      <c r="G501" s="11"/>
      <c r="H501" s="11"/>
      <c r="I501" s="61"/>
      <c r="J501" s="9"/>
      <c r="K501" s="11"/>
      <c r="L501" s="9"/>
      <c r="M501" s="14"/>
      <c r="N501" s="12"/>
      <c r="O501" s="12"/>
      <c r="P501" s="13"/>
      <c r="Q501" s="9"/>
      <c r="R501" s="12"/>
      <c r="S501" s="12"/>
      <c r="T501" s="12"/>
      <c r="U501" s="17"/>
    </row>
    <row r="502" spans="1:21" x14ac:dyDescent="0.2">
      <c r="A502" s="9"/>
      <c r="B502" s="14"/>
      <c r="C502" s="10"/>
      <c r="D502" s="9"/>
      <c r="E502" s="9"/>
      <c r="F502" s="9"/>
      <c r="G502" s="11"/>
      <c r="H502" s="11"/>
      <c r="I502" s="61"/>
      <c r="J502" s="9"/>
      <c r="K502" s="11"/>
      <c r="L502" s="9"/>
      <c r="M502" s="14"/>
      <c r="N502" s="12"/>
      <c r="O502" s="12"/>
      <c r="P502" s="13"/>
      <c r="Q502" s="9"/>
      <c r="R502" s="12"/>
      <c r="S502" s="12"/>
      <c r="T502" s="12"/>
      <c r="U502" s="17"/>
    </row>
    <row r="503" spans="1:21" x14ac:dyDescent="0.2">
      <c r="A503" s="9"/>
      <c r="B503" s="14"/>
      <c r="C503" s="10"/>
      <c r="D503" s="9"/>
      <c r="E503" s="9"/>
      <c r="F503" s="9"/>
      <c r="G503" s="11"/>
      <c r="H503" s="11"/>
      <c r="I503" s="61"/>
      <c r="J503" s="9"/>
      <c r="K503" s="11"/>
      <c r="L503" s="9"/>
      <c r="M503" s="14"/>
      <c r="N503" s="12"/>
      <c r="O503" s="12"/>
      <c r="P503" s="13"/>
      <c r="Q503" s="9"/>
      <c r="R503" s="12"/>
      <c r="S503" s="12"/>
      <c r="T503" s="12"/>
      <c r="U503" s="17"/>
    </row>
    <row r="504" spans="1:21" x14ac:dyDescent="0.2">
      <c r="A504" s="9"/>
      <c r="B504" s="14"/>
      <c r="C504" s="10"/>
      <c r="D504" s="9"/>
      <c r="E504" s="9"/>
      <c r="F504" s="9"/>
      <c r="G504" s="11"/>
      <c r="H504" s="11"/>
      <c r="I504" s="61"/>
      <c r="J504" s="9"/>
      <c r="K504" s="11"/>
      <c r="L504" s="9"/>
      <c r="M504" s="14"/>
      <c r="N504" s="12"/>
      <c r="O504" s="12"/>
      <c r="P504" s="13"/>
      <c r="Q504" s="9"/>
      <c r="R504" s="12"/>
      <c r="S504" s="12"/>
      <c r="T504" s="12"/>
      <c r="U504" s="17"/>
    </row>
  </sheetData>
  <conditionalFormatting sqref="Q5:Q504">
    <cfRule type="containsText" dxfId="51" priority="1" operator="containsText" text="Overdue">
      <formula>NOT(ISERROR(SEARCH("Overdue",Q5)))</formula>
    </cfRule>
  </conditionalFormatting>
  <conditionalFormatting sqref="Q5:Q504">
    <cfRule type="containsText" dxfId="50" priority="2" operator="containsText" text="Blocked">
      <formula>NOT(ISERROR(SEARCH("Blocked",Q5)))</formula>
    </cfRule>
  </conditionalFormatting>
  <conditionalFormatting sqref="Q5:Q504">
    <cfRule type="containsText" dxfId="49" priority="3" operator="containsText" text="Done Late">
      <formula>NOT(ISERROR(SEARCH("Done Late",Q5)))</formula>
    </cfRule>
  </conditionalFormatting>
  <conditionalFormatting sqref="Q5:Q504">
    <cfRule type="containsText" dxfId="48" priority="4" operator="containsText" text="Done On Time">
      <formula>NOT(ISERROR(SEARCH("Done On Time",Q5)))</formula>
    </cfRule>
  </conditionalFormatting>
  <conditionalFormatting sqref="Q5:Q504">
    <cfRule type="containsText" dxfId="47" priority="5" operator="containsText" text="On Track">
      <formula>NOT(ISERROR(SEARCH("On Track",Q5)))</formula>
    </cfRule>
  </conditionalFormatting>
  <conditionalFormatting sqref="J5:J504">
    <cfRule type="containsText" dxfId="46" priority="6" operator="containsText" text="Blocked">
      <formula>NOT(ISERROR(SEARCH("Blocked",J5)))</formula>
    </cfRule>
  </conditionalFormatting>
  <conditionalFormatting sqref="J5:J504">
    <cfRule type="containsText" dxfId="45" priority="7" operator="containsText" text="Done">
      <formula>NOT(ISERROR(SEARCH("Done",J5)))</formula>
    </cfRule>
  </conditionalFormatting>
  <conditionalFormatting sqref="J5:J504">
    <cfRule type="containsText" dxfId="44" priority="8" operator="containsText" text="In Progress">
      <formula>NOT(ISERROR(SEARCH("In Progress",J5)))</formula>
    </cfRule>
  </conditionalFormatting>
  <conditionalFormatting sqref="J5:J504">
    <cfRule type="containsText" dxfId="43" priority="9" operator="containsText" text="In Review">
      <formula>NOT(ISERROR(SEARCH("In Review",J5)))</formula>
    </cfRule>
  </conditionalFormatting>
  <conditionalFormatting sqref="K5:K504">
    <cfRule type="expression" dxfId="42" priority="10">
      <formula>AND($J5="Done",$K5="")</formula>
    </cfRule>
  </conditionalFormatting>
  <conditionalFormatting sqref="M5:M504">
    <cfRule type="expression" dxfId="41" priority="11">
      <formula>AND($J5="Blocked",$M5="")</formula>
    </cfRule>
  </conditionalFormatting>
  <conditionalFormatting sqref="M5:M504">
    <cfRule type="expression" dxfId="40" priority="12">
      <formula>AND($M5&lt;&gt;"",$K5="")</formula>
    </cfRule>
  </conditionalFormatting>
  <conditionalFormatting sqref="D5:D504">
    <cfRule type="expression" dxfId="39" priority="13">
      <formula>$D5="Not mapped"</formula>
    </cfRule>
  </conditionalFormatting>
  <conditionalFormatting sqref="P5:P504">
    <cfRule type="expression" dxfId="38" priority="14">
      <formula>AND(ISNUMBER($P5),$P5&gt;0)</formula>
    </cfRule>
  </conditionalFormatting>
  <conditionalFormatting sqref="T5:T504">
    <cfRule type="colorScale" priority="15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dataValidations count="3">
    <dataValidation type="date" operator="greaterThan" allowBlank="1" showInputMessage="1" showErrorMessage="1" errorTitle="Invalid date" error="Enter a valid date." sqref="K5:K504 G5:H504" xr:uid="{73381696-C3B1-194A-8C23-D4CF5D469F73}">
      <formula1>36526</formula1>
    </dataValidation>
    <dataValidation type="whole" operator="greaterThanOrEqual" allowBlank="1" showInputMessage="1" showErrorMessage="1" sqref="L5:L504" xr:uid="{674A7A43-E0D0-274B-B50F-4EFD0D311AF8}">
      <formula1>0</formula1>
    </dataValidation>
    <dataValidation type="decimal" operator="greaterThan" allowBlank="1" showInputMessage="1" showErrorMessage="1" errorTitle="Invalid hours" error="Enter estimated hours as a positive number." sqref="I5:I504" xr:uid="{6AADC00F-A31F-DD43-9A95-0D8861C6A419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FC9E408-BE16-664B-B708-DE368F4E1886}">
          <x14:formula1>
            <xm:f>OFFSET(Settings!$F$5,0,0,MAX(1,COUNTA(Settings!$F$5:$F$34)),1)</xm:f>
          </x14:formula1>
          <xm:sqref>C5:C504</xm:sqref>
        </x14:dataValidation>
        <x14:dataValidation type="list" allowBlank="1" showInputMessage="1" showErrorMessage="1" xr:uid="{A6E18E18-2C76-F34D-87B0-3DB404EDAA86}">
          <x14:formula1>
            <xm:f>OFFSET(Settings!$A$5,0,0,MAX(1,COUNTA(Settings!$A$5:$A$34)),1)</xm:f>
          </x14:formula1>
          <xm:sqref>E5:E504</xm:sqref>
        </x14:dataValidation>
        <x14:dataValidation type="list" allowBlank="1" showInputMessage="1" showErrorMessage="1" xr:uid="{1C33E5A5-6526-D34C-B419-2F31CDFDCFD0}">
          <x14:formula1>
            <xm:f>OFFSET(Settings!$D$5,0,0,MAX(1,COUNTA(Settings!$D$5:$D$34)),1)</xm:f>
          </x14:formula1>
          <xm:sqref>F5:F504</xm:sqref>
        </x14:dataValidation>
        <x14:dataValidation type="list" allowBlank="1" showInputMessage="1" showErrorMessage="1" xr:uid="{CCEA19D5-FFA9-E04A-A9C9-EC8E1282C24C}">
          <x14:formula1>
            <xm:f>OFFSET(Settings!$C$5,0,0,MAX(1,COUNTA(Settings!$C$5:$C$34)),1)</xm:f>
          </x14:formula1>
          <xm:sqref>J5:J504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1A86-19E3-604A-A5C2-60D101B34376}">
  <dimension ref="A1:K67"/>
  <sheetViews>
    <sheetView showGridLines="0" topLeftCell="A13" workbookViewId="0"/>
  </sheetViews>
  <sheetFormatPr baseColWidth="10" defaultRowHeight="16" x14ac:dyDescent="0.2"/>
  <cols>
    <col min="1" max="1" width="20" customWidth="1"/>
    <col min="2" max="2" width="20.83203125" customWidth="1"/>
    <col min="3" max="10" width="15" customWidth="1"/>
    <col min="11" max="11" width="63.33203125" customWidth="1"/>
  </cols>
  <sheetData>
    <row r="1" spans="1:11" ht="22" x14ac:dyDescent="0.3">
      <c r="A1" s="4" t="s">
        <v>64</v>
      </c>
    </row>
    <row r="2" spans="1:11" x14ac:dyDescent="0.2">
      <c r="A2" s="3" t="s">
        <v>65</v>
      </c>
    </row>
    <row r="4" spans="1:11" x14ac:dyDescent="0.2">
      <c r="A4" s="35" t="s">
        <v>66</v>
      </c>
      <c r="B4" s="34">
        <v>46266</v>
      </c>
    </row>
    <row r="5" spans="1:11" x14ac:dyDescent="0.2">
      <c r="A5" s="35" t="s">
        <v>67</v>
      </c>
      <c r="B5" s="34">
        <v>46295</v>
      </c>
    </row>
    <row r="7" spans="1:11" ht="22" customHeight="1" x14ac:dyDescent="0.2">
      <c r="A7" s="5" t="s">
        <v>25</v>
      </c>
      <c r="B7" s="5" t="s">
        <v>26</v>
      </c>
      <c r="C7" s="5" t="s">
        <v>27</v>
      </c>
      <c r="D7" s="5" t="s">
        <v>6</v>
      </c>
      <c r="E7" s="5" t="s">
        <v>28</v>
      </c>
    </row>
    <row r="8" spans="1:11" ht="32" customHeight="1" x14ac:dyDescent="0.3">
      <c r="A8" s="16">
        <f>COUNTA(tblTasks[Task Assigned])</f>
        <v>0</v>
      </c>
      <c r="B8" s="16">
        <f ca="1">COUNTIFS(tblTasks[Delivery Status],"Done*")</f>
        <v>0</v>
      </c>
      <c r="C8" s="16">
        <f ca="1">A8-B8</f>
        <v>0</v>
      </c>
      <c r="D8" s="16">
        <f ca="1">COUNTIFS(tblTasks[Delivery Status],"Blocked")</f>
        <v>0</v>
      </c>
      <c r="E8" s="16">
        <f ca="1">COUNTIFS(tblTasks[Delivery Status],"Overdue")</f>
        <v>0</v>
      </c>
    </row>
    <row r="10" spans="1:11" x14ac:dyDescent="0.2">
      <c r="A10" s="35" t="s">
        <v>68</v>
      </c>
    </row>
    <row r="11" spans="1:11" ht="48" customHeight="1" x14ac:dyDescent="0.2">
      <c r="A11" s="15" t="s">
        <v>14</v>
      </c>
      <c r="B11" s="5" t="s">
        <v>69</v>
      </c>
      <c r="C11" s="5" t="s">
        <v>70</v>
      </c>
      <c r="D11" s="5" t="s">
        <v>71</v>
      </c>
      <c r="E11" s="5" t="s">
        <v>29</v>
      </c>
      <c r="F11" s="5" t="s">
        <v>61</v>
      </c>
      <c r="G11" s="5" t="s">
        <v>62</v>
      </c>
      <c r="H11" s="5" t="s">
        <v>72</v>
      </c>
      <c r="I11" s="5" t="s">
        <v>73</v>
      </c>
      <c r="J11" s="5" t="s">
        <v>74</v>
      </c>
      <c r="K11" s="5" t="s">
        <v>75</v>
      </c>
    </row>
    <row r="12" spans="1:11" ht="17" x14ac:dyDescent="0.2">
      <c r="A12" s="36" t="str">
        <f>IF(Settings!A5="","",Settings!A5)</f>
        <v>Pragati</v>
      </c>
      <c r="B12" s="37">
        <f>IF($A12="","",COUNTIFS(tblTasks[Designer],$A12,tblTasks[Actual End Date],"&gt;="&amp;$B$4,tblTasks[Actual End Date],"&lt;="&amp;$B$5))</f>
        <v>0</v>
      </c>
      <c r="C12" s="38" t="str">
        <f>IF($A12="","",IF(B12=0,"-",IFERROR(AVERAGEIFS(tblTasks[TAT (Working Days)],tblTasks[Designer],$A12,tblTasks[Actual End Date],"&gt;="&amp;$B$4,tblTasks[Actual End Date],"&lt;="&amp;$B$5),"-")))</f>
        <v>-</v>
      </c>
      <c r="D12" s="39" t="str">
        <f>IF($A12="","",IF(B12=0,"-",COUNTIFS(tblTasks[Designer],$A12,tblTasks[Actual End Date],"&gt;="&amp;$B$4,tblTasks[Actual End Date],"&lt;="&amp;$B$5,tblTasks[Delivery Status],"Done On Time")/B12))</f>
        <v>-</v>
      </c>
      <c r="E12" s="38" t="str">
        <f>IF($A12="","",IF(B12=0,"-",SUMIFS(tblTasks[Revision Rounds],tblTasks[Designer],$A12,tblTasks[Actual End Date],"&gt;="&amp;$B$4,tblTasks[Actual End Date],"&lt;="&amp;$B$5)/B12))</f>
        <v>-</v>
      </c>
      <c r="F12" s="40" t="str">
        <f>IF($A12="","",IF(B12=0,"-",IFERROR(AVERAGEIFS(tblTasks[Speed Score],tblTasks[Designer],$A12,tblTasks[Actual End Date],"&gt;="&amp;$B$4,tblTasks[Actual End Date],"&lt;="&amp;$B$5),"-")))</f>
        <v>-</v>
      </c>
      <c r="G12" s="40" t="str">
        <f>IF($A12="","",IF(B12=0,"-",IFERROR(AVERAGEIFS(tblTasks[Quality Score],tblTasks[Designer],$A12,tblTasks[Actual End Date],"&gt;="&amp;$B$4,tblTasks[Actual End Date],"&lt;="&amp;$B$5),"-")))</f>
        <v>-</v>
      </c>
      <c r="H12" s="40">
        <f>IF($A12="","",IFERROR(100*(1-COUNTIFS(tblTasks[Designer],$A12,tblTasks[Delivery Status],"Overdue")/COUNTIFS(tblTasks[Designer],$A12,tblTasks[Actual End Date],"")),100))</f>
        <v>100</v>
      </c>
      <c r="I12" s="41" t="str">
        <f>IF($A12="","",IF(AND(ISNUMBER(F12),ISNUMBER(G12)),(Settings!$J$5*F12+Settings!$J$6*G12+Settings!$J$7*H12)/Settings!$J$8,"-"))</f>
        <v>-</v>
      </c>
      <c r="J12" s="37" t="str">
        <f>IF($A12="","",IF(NOT(ISNUMBER(I12)),"-",IF(I12&gt;=Settings!$J$10,"Excellent",IF(I12&gt;=Settings!$J$11,"Good",IF(I12&gt;=Settings!$J$12,"Needs Improvement","At Risk")))))</f>
        <v>-</v>
      </c>
      <c r="K12" s="42" t="str">
        <f>IF($A12="","",IF(NOT(ISNUMBER(I12)),"Needs at least one completed task in the period",IF(MIN(F12:H12)&gt;=90,"Strong across all areas – keep it up",IF(F12=MIN(F12:H12),"Speed: tasks take longer than planned – raise delays early and plan realistic dates",IF(G12=MIN(F12:H12),"Quality: too many revision rounds – confirm the brief and self-review before sharing","Commitment: open tasks are past target date – update status or log the blocker")))))</f>
        <v>Needs at least one completed task in the period</v>
      </c>
    </row>
    <row r="13" spans="1:11" ht="17" x14ac:dyDescent="0.2">
      <c r="A13" s="43" t="str">
        <f>IF(Settings!A6="","",Settings!A6)</f>
        <v>Swathi</v>
      </c>
      <c r="B13" s="44">
        <f>IF($A13="","",COUNTIFS(tblTasks[Designer],$A13,tblTasks[Actual End Date],"&gt;="&amp;$B$4,tblTasks[Actual End Date],"&lt;="&amp;$B$5))</f>
        <v>0</v>
      </c>
      <c r="C13" s="45" t="str">
        <f>IF($A13="","",IF(B13=0,"-",IFERROR(AVERAGEIFS(tblTasks[TAT (Working Days)],tblTasks[Designer],$A13,tblTasks[Actual End Date],"&gt;="&amp;$B$4,tblTasks[Actual End Date],"&lt;="&amp;$B$5),"-")))</f>
        <v>-</v>
      </c>
      <c r="D13" s="46" t="str">
        <f>IF($A13="","",IF(B13=0,"-",COUNTIFS(tblTasks[Designer],$A13,tblTasks[Actual End Date],"&gt;="&amp;$B$4,tblTasks[Actual End Date],"&lt;="&amp;$B$5,tblTasks[Delivery Status],"Done On Time")/B13))</f>
        <v>-</v>
      </c>
      <c r="E13" s="45" t="str">
        <f>IF($A13="","",IF(B13=0,"-",SUMIFS(tblTasks[Revision Rounds],tblTasks[Designer],$A13,tblTasks[Actual End Date],"&gt;="&amp;$B$4,tblTasks[Actual End Date],"&lt;="&amp;$B$5)/B13))</f>
        <v>-</v>
      </c>
      <c r="F13" s="47" t="str">
        <f>IF($A13="","",IF(B13=0,"-",IFERROR(AVERAGEIFS(tblTasks[Speed Score],tblTasks[Designer],$A13,tblTasks[Actual End Date],"&gt;="&amp;$B$4,tblTasks[Actual End Date],"&lt;="&amp;$B$5),"-")))</f>
        <v>-</v>
      </c>
      <c r="G13" s="47" t="str">
        <f>IF($A13="","",IF(B13=0,"-",IFERROR(AVERAGEIFS(tblTasks[Quality Score],tblTasks[Designer],$A13,tblTasks[Actual End Date],"&gt;="&amp;$B$4,tblTasks[Actual End Date],"&lt;="&amp;$B$5),"-")))</f>
        <v>-</v>
      </c>
      <c r="H13" s="47">
        <f>IF($A13="","",IFERROR(100*(1-COUNTIFS(tblTasks[Designer],$A13,tblTasks[Delivery Status],"Overdue")/COUNTIFS(tblTasks[Designer],$A13,tblTasks[Actual End Date],"")),100))</f>
        <v>100</v>
      </c>
      <c r="I13" s="48" t="str">
        <f>IF($A13="","",IF(AND(ISNUMBER(F13),ISNUMBER(G13)),(Settings!$J$5*F13+Settings!$J$6*G13+Settings!$J$7*H13)/Settings!$J$8,"-"))</f>
        <v>-</v>
      </c>
      <c r="J13" s="44" t="str">
        <f>IF($A13="","",IF(NOT(ISNUMBER(I13)),"-",IF(I13&gt;=Settings!$J$10,"Excellent",IF(I13&gt;=Settings!$J$11,"Good",IF(I13&gt;=Settings!$J$12,"Needs Improvement","At Risk")))))</f>
        <v>-</v>
      </c>
      <c r="K13" s="49" t="str">
        <f>IF($A13="","",IF(NOT(ISNUMBER(I13)),"Needs at least one completed task in the period",IF(MIN(F13:H13)&gt;=90,"Strong across all areas – keep it up",IF(F13=MIN(F13:H13),"Speed: tasks take longer than planned – raise delays early and plan realistic dates",IF(G13=MIN(F13:H13),"Quality: too many revision rounds – confirm the brief and self-review before sharing","Commitment: open tasks are past target date – update status or log the blocker")))))</f>
        <v>Needs at least one completed task in the period</v>
      </c>
    </row>
    <row r="14" spans="1:11" ht="17" x14ac:dyDescent="0.2">
      <c r="A14" s="43" t="str">
        <f>IF(Settings!A7="","",Settings!A7)</f>
        <v/>
      </c>
      <c r="B14" s="44" t="str">
        <f>IF($A14="","",COUNTIFS(tblTasks[Designer],$A14,tblTasks[Actual End Date],"&gt;="&amp;$B$4,tblTasks[Actual End Date],"&lt;="&amp;$B$5))</f>
        <v/>
      </c>
      <c r="C14" s="45" t="str">
        <f>IF($A14="","",IF(B14=0,"-",IFERROR(AVERAGEIFS(tblTasks[TAT (Working Days)],tblTasks[Designer],$A14,tblTasks[Actual End Date],"&gt;="&amp;$B$4,tblTasks[Actual End Date],"&lt;="&amp;$B$5),"-")))</f>
        <v/>
      </c>
      <c r="D14" s="46" t="str">
        <f>IF($A14="","",IF(B14=0,"-",COUNTIFS(tblTasks[Designer],$A14,tblTasks[Actual End Date],"&gt;="&amp;$B$4,tblTasks[Actual End Date],"&lt;="&amp;$B$5,tblTasks[Delivery Status],"Done On Time")/B14))</f>
        <v/>
      </c>
      <c r="E14" s="45" t="str">
        <f>IF($A14="","",IF(B14=0,"-",SUMIFS(tblTasks[Revision Rounds],tblTasks[Designer],$A14,tblTasks[Actual End Date],"&gt;="&amp;$B$4,tblTasks[Actual End Date],"&lt;="&amp;$B$5)/B14))</f>
        <v/>
      </c>
      <c r="F14" s="47" t="str">
        <f>IF($A14="","",IF(B14=0,"-",IFERROR(AVERAGEIFS(tblTasks[Speed Score],tblTasks[Designer],$A14,tblTasks[Actual End Date],"&gt;="&amp;$B$4,tblTasks[Actual End Date],"&lt;="&amp;$B$5),"-")))</f>
        <v/>
      </c>
      <c r="G14" s="47" t="str">
        <f>IF($A14="","",IF(B14=0,"-",IFERROR(AVERAGEIFS(tblTasks[Quality Score],tblTasks[Designer],$A14,tblTasks[Actual End Date],"&gt;="&amp;$B$4,tblTasks[Actual End Date],"&lt;="&amp;$B$5),"-")))</f>
        <v/>
      </c>
      <c r="H14" s="47" t="str">
        <f>IF($A14="","",IFERROR(100*(1-COUNTIFS(tblTasks[Designer],$A14,tblTasks[Delivery Status],"Overdue")/COUNTIFS(tblTasks[Designer],$A14,tblTasks[Actual End Date],"")),100))</f>
        <v/>
      </c>
      <c r="I14" s="48" t="str">
        <f>IF($A14="","",IF(AND(ISNUMBER(F14),ISNUMBER(G14)),(Settings!$J$5*F14+Settings!$J$6*G14+Settings!$J$7*H14)/Settings!$J$8,"-"))</f>
        <v/>
      </c>
      <c r="J14" s="44" t="str">
        <f>IF($A14="","",IF(NOT(ISNUMBER(I14)),"-",IF(I14&gt;=Settings!$J$10,"Excellent",IF(I14&gt;=Settings!$J$11,"Good",IF(I14&gt;=Settings!$J$12,"Needs Improvement","At Risk")))))</f>
        <v/>
      </c>
      <c r="K14" s="49" t="str">
        <f>IF($A14="","",IF(NOT(ISNUMBER(I14)),"Needs at least one completed task in the period",IF(MIN(F14:H14)&gt;=90,"Strong across all areas – keep it up",IF(F14=MIN(F14:H14),"Speed: tasks take longer than planned – raise delays early and plan realistic dates",IF(G14=MIN(F14:H14),"Quality: too many revision rounds – confirm the brief and self-review before sharing","Commitment: open tasks are past target date – update status or log the blocker")))))</f>
        <v/>
      </c>
    </row>
    <row r="15" spans="1:11" ht="17" x14ac:dyDescent="0.2">
      <c r="A15" s="43" t="str">
        <f>IF(Settings!A8="","",Settings!A8)</f>
        <v/>
      </c>
      <c r="B15" s="44" t="str">
        <f>IF($A15="","",COUNTIFS(tblTasks[Designer],$A15,tblTasks[Actual End Date],"&gt;="&amp;$B$4,tblTasks[Actual End Date],"&lt;="&amp;$B$5))</f>
        <v/>
      </c>
      <c r="C15" s="45" t="str">
        <f>IF($A15="","",IF(B15=0,"-",IFERROR(AVERAGEIFS(tblTasks[TAT (Working Days)],tblTasks[Designer],$A15,tblTasks[Actual End Date],"&gt;="&amp;$B$4,tblTasks[Actual End Date],"&lt;="&amp;$B$5),"-")))</f>
        <v/>
      </c>
      <c r="D15" s="46" t="str">
        <f>IF($A15="","",IF(B15=0,"-",COUNTIFS(tblTasks[Designer],$A15,tblTasks[Actual End Date],"&gt;="&amp;$B$4,tblTasks[Actual End Date],"&lt;="&amp;$B$5,tblTasks[Delivery Status],"Done On Time")/B15))</f>
        <v/>
      </c>
      <c r="E15" s="45" t="str">
        <f>IF($A15="","",IF(B15=0,"-",SUMIFS(tblTasks[Revision Rounds],tblTasks[Designer],$A15,tblTasks[Actual End Date],"&gt;="&amp;$B$4,tblTasks[Actual End Date],"&lt;="&amp;$B$5)/B15))</f>
        <v/>
      </c>
      <c r="F15" s="47" t="str">
        <f>IF($A15="","",IF(B15=0,"-",IFERROR(AVERAGEIFS(tblTasks[Speed Score],tblTasks[Designer],$A15,tblTasks[Actual End Date],"&gt;="&amp;$B$4,tblTasks[Actual End Date],"&lt;="&amp;$B$5),"-")))</f>
        <v/>
      </c>
      <c r="G15" s="47" t="str">
        <f>IF($A15="","",IF(B15=0,"-",IFERROR(AVERAGEIFS(tblTasks[Quality Score],tblTasks[Designer],$A15,tblTasks[Actual End Date],"&gt;="&amp;$B$4,tblTasks[Actual End Date],"&lt;="&amp;$B$5),"-")))</f>
        <v/>
      </c>
      <c r="H15" s="47" t="str">
        <f>IF($A15="","",IFERROR(100*(1-COUNTIFS(tblTasks[Designer],$A15,tblTasks[Delivery Status],"Overdue")/COUNTIFS(tblTasks[Designer],$A15,tblTasks[Actual End Date],"")),100))</f>
        <v/>
      </c>
      <c r="I15" s="48" t="str">
        <f>IF($A15="","",IF(AND(ISNUMBER(F15),ISNUMBER(G15)),(Settings!$J$5*F15+Settings!$J$6*G15+Settings!$J$7*H15)/Settings!$J$8,"-"))</f>
        <v/>
      </c>
      <c r="J15" s="44" t="str">
        <f>IF($A15="","",IF(NOT(ISNUMBER(I15)),"-",IF(I15&gt;=Settings!$J$10,"Excellent",IF(I15&gt;=Settings!$J$11,"Good",IF(I15&gt;=Settings!$J$12,"Needs Improvement","At Risk")))))</f>
        <v/>
      </c>
      <c r="K15" s="49" t="str">
        <f>IF($A15="","",IF(NOT(ISNUMBER(I15)),"Needs at least one completed task in the period",IF(MIN(F15:H15)&gt;=90,"Strong across all areas – keep it up",IF(F15=MIN(F15:H15),"Speed: tasks take longer than planned – raise delays early and plan realistic dates",IF(G15=MIN(F15:H15),"Quality: too many revision rounds – confirm the brief and self-review before sharing","Commitment: open tasks are past target date – update status or log the blocker")))))</f>
        <v/>
      </c>
    </row>
    <row r="16" spans="1:11" ht="17" x14ac:dyDescent="0.2">
      <c r="A16" s="50" t="str">
        <f>IF(Settings!A9="","",Settings!A9)</f>
        <v/>
      </c>
      <c r="B16" s="51" t="str">
        <f>IF($A16="","",COUNTIFS(tblTasks[Designer],$A16,tblTasks[Actual End Date],"&gt;="&amp;$B$4,tblTasks[Actual End Date],"&lt;="&amp;$B$5))</f>
        <v/>
      </c>
      <c r="C16" s="52" t="str">
        <f>IF($A16="","",IF(B16=0,"-",IFERROR(AVERAGEIFS(tblTasks[TAT (Working Days)],tblTasks[Designer],$A16,tblTasks[Actual End Date],"&gt;="&amp;$B$4,tblTasks[Actual End Date],"&lt;="&amp;$B$5),"-")))</f>
        <v/>
      </c>
      <c r="D16" s="53" t="str">
        <f>IF($A16="","",IF(B16=0,"-",COUNTIFS(tblTasks[Designer],$A16,tblTasks[Actual End Date],"&gt;="&amp;$B$4,tblTasks[Actual End Date],"&lt;="&amp;$B$5,tblTasks[Delivery Status],"Done On Time")/B16))</f>
        <v/>
      </c>
      <c r="E16" s="52" t="str">
        <f>IF($A16="","",IF(B16=0,"-",SUMIFS(tblTasks[Revision Rounds],tblTasks[Designer],$A16,tblTasks[Actual End Date],"&gt;="&amp;$B$4,tblTasks[Actual End Date],"&lt;="&amp;$B$5)/B16))</f>
        <v/>
      </c>
      <c r="F16" s="54" t="str">
        <f>IF($A16="","",IF(B16=0,"-",IFERROR(AVERAGEIFS(tblTasks[Speed Score],tblTasks[Designer],$A16,tblTasks[Actual End Date],"&gt;="&amp;$B$4,tblTasks[Actual End Date],"&lt;="&amp;$B$5),"-")))</f>
        <v/>
      </c>
      <c r="G16" s="54" t="str">
        <f>IF($A16="","",IF(B16=0,"-",IFERROR(AVERAGEIFS(tblTasks[Quality Score],tblTasks[Designer],$A16,tblTasks[Actual End Date],"&gt;="&amp;$B$4,tblTasks[Actual End Date],"&lt;="&amp;$B$5),"-")))</f>
        <v/>
      </c>
      <c r="H16" s="54" t="str">
        <f>IF($A16="","",IFERROR(100*(1-COUNTIFS(tblTasks[Designer],$A16,tblTasks[Delivery Status],"Overdue")/COUNTIFS(tblTasks[Designer],$A16,tblTasks[Actual End Date],"")),100))</f>
        <v/>
      </c>
      <c r="I16" s="55" t="str">
        <f>IF($A16="","",IF(AND(ISNUMBER(F16),ISNUMBER(G16)),(Settings!$J$5*F16+Settings!$J$6*G16+Settings!$J$7*H16)/Settings!$J$8,"-"))</f>
        <v/>
      </c>
      <c r="J16" s="51" t="str">
        <f>IF($A16="","",IF(NOT(ISNUMBER(I16)),"-",IF(I16&gt;=Settings!$J$10,"Excellent",IF(I16&gt;=Settings!$J$11,"Good",IF(I16&gt;=Settings!$J$12,"Needs Improvement","At Risk")))))</f>
        <v/>
      </c>
      <c r="K16" s="56" t="str">
        <f>IF($A16="","",IF(NOT(ISNUMBER(I16)),"Needs at least one completed task in the period",IF(MIN(F16:H16)&gt;=90,"Strong across all areas – keep it up",IF(F16=MIN(F16:H16),"Speed: tasks take longer than planned – raise delays early and plan realistic dates",IF(G16=MIN(F16:H16),"Quality: too many revision rounds – confirm the brief and self-review before sharing","Commitment: open tasks are past target date – update status or log the blocker")))))</f>
        <v/>
      </c>
    </row>
    <row r="18" spans="1:6" x14ac:dyDescent="0.2">
      <c r="A18" s="35" t="s">
        <v>76</v>
      </c>
    </row>
    <row r="19" spans="1:6" ht="34" customHeight="1" x14ac:dyDescent="0.2">
      <c r="A19" s="15" t="s">
        <v>77</v>
      </c>
      <c r="B19" s="5" t="s">
        <v>78</v>
      </c>
      <c r="C19" s="5" t="s">
        <v>27</v>
      </c>
      <c r="D19" s="5" t="s">
        <v>6</v>
      </c>
      <c r="E19" s="5" t="s">
        <v>28</v>
      </c>
      <c r="F19" s="5" t="s">
        <v>79</v>
      </c>
    </row>
    <row r="20" spans="1:6" x14ac:dyDescent="0.2">
      <c r="A20" s="19" t="str">
        <f>IF(Settings!B5="","",Settings!B5)</f>
        <v>Raghav</v>
      </c>
      <c r="B20" s="20">
        <f>IF($A20="","",COUNTIFS(tblTasks[PM (Project Lead)],$A20))</f>
        <v>0</v>
      </c>
      <c r="C20" s="20">
        <f>IF($A20="","",COUNTIFS(tblTasks[PM (Project Lead)],$A20,tblTasks[Actual End Date],""))</f>
        <v>0</v>
      </c>
      <c r="D20" s="20">
        <f>IF($A20="","",COUNTIFS(tblTasks[PM (Project Lead)],$A20,tblTasks[Delivery Status],"Blocked"))</f>
        <v>0</v>
      </c>
      <c r="E20" s="20">
        <f>IF($A20="","",COUNTIFS(tblTasks[PM (Project Lead)],$A20,tblTasks[Delivery Status],"Overdue"))</f>
        <v>0</v>
      </c>
      <c r="F20" s="21" t="str">
        <f>IF($A20="","",IFERROR(SUMIFS(tblTasks[Revision Rounds],tblTasks[PM (Project Lead)],$A20,tblTasks[Delivery Status],"Done*")/COUNTIFS(tblTasks[PM (Project Lead)],$A20,tblTasks[Delivery Status],"Done*"),"-"))</f>
        <v>-</v>
      </c>
    </row>
    <row r="21" spans="1:6" x14ac:dyDescent="0.2">
      <c r="A21" s="22" t="str">
        <f>IF(Settings!B6="","",Settings!B6)</f>
        <v>SL</v>
      </c>
      <c r="B21" s="23">
        <f>IF($A21="","",COUNTIFS(tblTasks[PM (Project Lead)],$A21))</f>
        <v>0</v>
      </c>
      <c r="C21" s="23">
        <f>IF($A21="","",COUNTIFS(tblTasks[PM (Project Lead)],$A21,tblTasks[Actual End Date],""))</f>
        <v>0</v>
      </c>
      <c r="D21" s="23">
        <f>IF($A21="","",COUNTIFS(tblTasks[PM (Project Lead)],$A21,tblTasks[Delivery Status],"Blocked"))</f>
        <v>0</v>
      </c>
      <c r="E21" s="23">
        <f>IF($A21="","",COUNTIFS(tblTasks[PM (Project Lead)],$A21,tblTasks[Delivery Status],"Overdue"))</f>
        <v>0</v>
      </c>
      <c r="F21" s="24" t="str">
        <f>IF($A21="","",IFERROR(SUMIFS(tblTasks[Revision Rounds],tblTasks[PM (Project Lead)],$A21,tblTasks[Delivery Status],"Done*")/COUNTIFS(tblTasks[PM (Project Lead)],$A21,tblTasks[Delivery Status],"Done*"),"-"))</f>
        <v>-</v>
      </c>
    </row>
    <row r="22" spans="1:6" x14ac:dyDescent="0.2">
      <c r="A22" s="22" t="str">
        <f>IF(Settings!B7="","",Settings!B7)</f>
        <v>Arun</v>
      </c>
      <c r="B22" s="23">
        <f>IF($A22="","",COUNTIFS(tblTasks[PM (Project Lead)],$A22))</f>
        <v>0</v>
      </c>
      <c r="C22" s="23">
        <f>IF($A22="","",COUNTIFS(tblTasks[PM (Project Lead)],$A22,tblTasks[Actual End Date],""))</f>
        <v>0</v>
      </c>
      <c r="D22" s="23">
        <f>IF($A22="","",COUNTIFS(tblTasks[PM (Project Lead)],$A22,tblTasks[Delivery Status],"Blocked"))</f>
        <v>0</v>
      </c>
      <c r="E22" s="23">
        <f>IF($A22="","",COUNTIFS(tblTasks[PM (Project Lead)],$A22,tblTasks[Delivery Status],"Overdue"))</f>
        <v>0</v>
      </c>
      <c r="F22" s="24" t="str">
        <f>IF($A22="","",IFERROR(SUMIFS(tblTasks[Revision Rounds],tblTasks[PM (Project Lead)],$A22,tblTasks[Delivery Status],"Done*")/COUNTIFS(tblTasks[PM (Project Lead)],$A22,tblTasks[Delivery Status],"Done*"),"-"))</f>
        <v>-</v>
      </c>
    </row>
    <row r="23" spans="1:6" x14ac:dyDescent="0.2">
      <c r="A23" s="22" t="str">
        <f>IF(Settings!B8="","",Settings!B8)</f>
        <v>Naveen</v>
      </c>
      <c r="B23" s="23">
        <f>IF($A23="","",COUNTIFS(tblTasks[PM (Project Lead)],$A23))</f>
        <v>0</v>
      </c>
      <c r="C23" s="23">
        <f>IF($A23="","",COUNTIFS(tblTasks[PM (Project Lead)],$A23,tblTasks[Actual End Date],""))</f>
        <v>0</v>
      </c>
      <c r="D23" s="23">
        <f>IF($A23="","",COUNTIFS(tblTasks[PM (Project Lead)],$A23,tblTasks[Delivery Status],"Blocked"))</f>
        <v>0</v>
      </c>
      <c r="E23" s="23">
        <f>IF($A23="","",COUNTIFS(tblTasks[PM (Project Lead)],$A23,tblTasks[Delivery Status],"Overdue"))</f>
        <v>0</v>
      </c>
      <c r="F23" s="24" t="str">
        <f>IF($A23="","",IFERROR(SUMIFS(tblTasks[Revision Rounds],tblTasks[PM (Project Lead)],$A23,tblTasks[Delivery Status],"Done*")/COUNTIFS(tblTasks[PM (Project Lead)],$A23,tblTasks[Delivery Status],"Done*"),"-"))</f>
        <v>-</v>
      </c>
    </row>
    <row r="24" spans="1:6" x14ac:dyDescent="0.2">
      <c r="A24" s="25" t="str">
        <f>IF(Settings!B9="","",Settings!B9)</f>
        <v>Manu</v>
      </c>
      <c r="B24" s="26">
        <f>IF($A24="","",COUNTIFS(tblTasks[PM (Project Lead)],$A24))</f>
        <v>0</v>
      </c>
      <c r="C24" s="26">
        <f>IF($A24="","",COUNTIFS(tblTasks[PM (Project Lead)],$A24,tblTasks[Actual End Date],""))</f>
        <v>0</v>
      </c>
      <c r="D24" s="26">
        <f>IF($A24="","",COUNTIFS(tblTasks[PM (Project Lead)],$A24,tblTasks[Delivery Status],"Blocked"))</f>
        <v>0</v>
      </c>
      <c r="E24" s="26">
        <f>IF($A24="","",COUNTIFS(tblTasks[PM (Project Lead)],$A24,tblTasks[Delivery Status],"Overdue"))</f>
        <v>0</v>
      </c>
      <c r="F24" s="27" t="str">
        <f>IF($A24="","",IFERROR(SUMIFS(tblTasks[Revision Rounds],tblTasks[PM (Project Lead)],$A24,tblTasks[Delivery Status],"Done*")/COUNTIFS(tblTasks[PM (Project Lead)],$A24,tblTasks[Delivery Status],"Done*"),"-"))</f>
        <v>-</v>
      </c>
    </row>
    <row r="26" spans="1:6" x14ac:dyDescent="0.2">
      <c r="A26" s="35" t="s">
        <v>80</v>
      </c>
    </row>
    <row r="27" spans="1:6" x14ac:dyDescent="0.2">
      <c r="A27" t="str">
        <f>"Speed ("&amp;TEXT(Settings!J5,"0%")&amp;"): planned working days ÷ actual working days per task, capped at 100. Finishing on or before the target date scores 100."</f>
        <v>Speed (40%): planned working days ÷ actual working days per task, capped at 100. Finishing on or before the target date scores 100.</v>
      </c>
    </row>
    <row r="28" spans="1:6" x14ac:dyDescent="0.2">
      <c r="A28" t="str">
        <f>"Quality ("&amp;TEXT(Settings!J6,"0%")&amp;"): starts at 100 and drops with each revision round; reaches 0 at "&amp;Settings!J9&amp;" rounds."</f>
        <v>Quality (40%): starts at 100 and drops with each revision round; reaches 0 at 4 rounds.</v>
      </c>
    </row>
    <row r="29" spans="1:6" x14ac:dyDescent="0.2">
      <c r="A29" t="str">
        <f>"Commitment ("&amp;TEXT(Settings!J7,"0%")&amp;"): share of open tasks that are not past their target date. Blocked tasks (with a blocker logged) are not counted as overdue."</f>
        <v>Commitment (20%): share of open tasks that are not past their target date. Blocked tasks (with a blocker logged) are not counted as overdue.</v>
      </c>
    </row>
    <row r="30" spans="1:6" x14ac:dyDescent="0.2">
      <c r="A30" t="str">
        <f>"Overall = weighted average. Ratings: Excellent ≥ "&amp;Settings!J10&amp;", Good ≥ "&amp;Settings!J11&amp;", Needs Improvement ≥ "&amp;Settings!J12&amp;", otherwise At Risk."</f>
        <v>Overall = weighted average. Ratings: Excellent ≥ 85, Good ≥ 70, Needs Improvement ≥ 50, otherwise At Risk.</v>
      </c>
    </row>
    <row r="31" spans="1:6" x14ac:dyDescent="0.2">
      <c r="A31" t="s">
        <v>81</v>
      </c>
    </row>
    <row r="33" spans="1:10" x14ac:dyDescent="0.2">
      <c r="A33" s="35" t="s">
        <v>101</v>
      </c>
    </row>
    <row r="34" spans="1:10" x14ac:dyDescent="0.2">
      <c r="A34" s="35" t="s">
        <v>102</v>
      </c>
      <c r="B34" s="34">
        <f ca="1">TODAY()</f>
        <v>46294</v>
      </c>
      <c r="C34" s="3" t="str">
        <f>"Capacity "&amp;Settings!J16&amp;" hrs/week ("&amp;Settings!J17&amp;"-day week = "&amp;TEXT(Settings!J18,"0.0")&amp;" hrs/day). Hours are spread evenly over each task's working days between Start and Target End."</f>
        <v>Capacity 48 hrs/week (5-day week = 9.6 hrs/day). Hours are spread evenly over each task's working days between Start and Target End.</v>
      </c>
    </row>
    <row r="35" spans="1:10" x14ac:dyDescent="0.2">
      <c r="A35" s="62" t="str">
        <f>"Open tasks with no effort estimate (not counted in workload): "&amp;COUNTIFS(tblTasks[Task Assigned],"&lt;&gt;",tblTasks[Estimated Effort (Hrs)],"",tblTasks[Actual End Date],"")</f>
        <v>Open tasks with no effort estimate (not counted in workload): 0</v>
      </c>
    </row>
    <row r="36" spans="1:10" ht="30" customHeight="1" x14ac:dyDescent="0.2">
      <c r="A36" s="15" t="s">
        <v>14</v>
      </c>
      <c r="B36" s="5" t="s">
        <v>103</v>
      </c>
      <c r="C36" s="63">
        <f ca="1">$B$34-WEEKDAY($B$34,2)+1</f>
        <v>46293</v>
      </c>
      <c r="D36" s="63">
        <f ca="1">C36+7</f>
        <v>46300</v>
      </c>
      <c r="E36" s="63">
        <f ca="1">D36+7</f>
        <v>46307</v>
      </c>
      <c r="F36" s="63">
        <f ca="1">E36+7</f>
        <v>46314</v>
      </c>
      <c r="G36" s="63">
        <f ca="1">F36+7</f>
        <v>46321</v>
      </c>
      <c r="H36" s="63">
        <f ca="1">G36+7</f>
        <v>46328</v>
      </c>
      <c r="I36" s="63">
        <f ca="1">H36+7</f>
        <v>46335</v>
      </c>
      <c r="J36" s="63">
        <f ca="1">I36+7</f>
        <v>46342</v>
      </c>
    </row>
    <row r="37" spans="1:10" x14ac:dyDescent="0.2">
      <c r="A37" s="64"/>
      <c r="B37" s="66" t="s">
        <v>104</v>
      </c>
      <c r="C37" s="65" cm="1">
        <f t="array" aca="1" ref="C37" ca="1">SUMPRODUCT((COUNTIF(tblHolidays[Holiday Date],C$36+{0,1,2,3,4,5})&gt;0)*(WEEKDAY(C$36+{0,1,2,3,4,5},2)&lt;=Settings!$J$17))</f>
        <v>0</v>
      </c>
      <c r="D37" s="65" cm="1">
        <f t="array" aca="1" ref="D37" ca="1">SUMPRODUCT((COUNTIF(tblHolidays[Holiday Date],D$36+{0,1,2,3,4,5})&gt;0)*(WEEKDAY(D$36+{0,1,2,3,4,5},2)&lt;=Settings!$J$17))</f>
        <v>0</v>
      </c>
      <c r="E37" s="65" cm="1">
        <f t="array" aca="1" ref="E37" ca="1">SUMPRODUCT((COUNTIF(tblHolidays[Holiday Date],E$36+{0,1,2,3,4,5})&gt;0)*(WEEKDAY(E$36+{0,1,2,3,4,5},2)&lt;=Settings!$J$17))</f>
        <v>0</v>
      </c>
      <c r="F37" s="65" cm="1">
        <f t="array" aca="1" ref="F37" ca="1">SUMPRODUCT((COUNTIF(tblHolidays[Holiday Date],F$36+{0,1,2,3,4,5})&gt;0)*(WEEKDAY(F$36+{0,1,2,3,4,5},2)&lt;=Settings!$J$17))</f>
        <v>0</v>
      </c>
      <c r="G37" s="65" cm="1">
        <f t="array" aca="1" ref="G37" ca="1">SUMPRODUCT((COUNTIF(tblHolidays[Holiday Date],G$36+{0,1,2,3,4,5})&gt;0)*(WEEKDAY(G$36+{0,1,2,3,4,5},2)&lt;=Settings!$J$17))</f>
        <v>0</v>
      </c>
      <c r="H37" s="65" cm="1">
        <f t="array" aca="1" ref="H37" ca="1">SUMPRODUCT((COUNTIF(tblHolidays[Holiday Date],H$36+{0,1,2,3,4,5})&gt;0)*(WEEKDAY(H$36+{0,1,2,3,4,5},2)&lt;=Settings!$J$17))</f>
        <v>0</v>
      </c>
      <c r="I37" s="65" cm="1">
        <f t="array" aca="1" ref="I37" ca="1">SUMPRODUCT((COUNTIF(tblHolidays[Holiday Date],I$36+{0,1,2,3,4,5})&gt;0)*(WEEKDAY(I$36+{0,1,2,3,4,5},2)&lt;=Settings!$J$17))</f>
        <v>0</v>
      </c>
      <c r="J37" s="65" cm="1">
        <f t="array" aca="1" ref="J37" ca="1">SUMPRODUCT((COUNTIF(tblHolidays[Holiday Date],J$36+{0,1,2,3,4,5})&gt;0)*(WEEKDAY(J$36+{0,1,2,3,4,5},2)&lt;=Settings!$J$17))</f>
        <v>0</v>
      </c>
    </row>
    <row r="38" spans="1:10" x14ac:dyDescent="0.2">
      <c r="A38" s="35" t="str">
        <f>IF(Settings!A5="","",Settings!A5)</f>
        <v>Pragati</v>
      </c>
      <c r="B38" s="67" t="s">
        <v>105</v>
      </c>
      <c r="C38" s="7" cm="1">
        <f t="array" aca="1" ref="C38" ca="1">IF($A$38="","",SUMPRODUCT((COUNTIFS(tblLeave[Designer],$A$38,tblLeave[From],"&lt;="&amp;(C$36+{0,1,2,3,4,5}),tblLeave[To],"&gt;="&amp;(C$36+{0,1,2,3,4,5}))&gt;0)*(COUNTIF(tblHolidays[Holiday Date],C$36+{0,1,2,3,4,5})=0)*(WEEKDAY(C$36+{0,1,2,3,4,5},2)&lt;=Settings!$J$17)))</f>
        <v>0</v>
      </c>
      <c r="D38" s="7" cm="1">
        <f t="array" aca="1" ref="D38" ca="1">IF($A$38="","",SUMPRODUCT((COUNTIFS(tblLeave[Designer],$A$38,tblLeave[From],"&lt;="&amp;(D$36+{0,1,2,3,4,5}),tblLeave[To],"&gt;="&amp;(D$36+{0,1,2,3,4,5}))&gt;0)*(COUNTIF(tblHolidays[Holiday Date],D$36+{0,1,2,3,4,5})=0)*(WEEKDAY(D$36+{0,1,2,3,4,5},2)&lt;=Settings!$J$17)))</f>
        <v>0</v>
      </c>
      <c r="E38" s="7" cm="1">
        <f t="array" aca="1" ref="E38" ca="1">IF($A$38="","",SUMPRODUCT((COUNTIFS(tblLeave[Designer],$A$38,tblLeave[From],"&lt;="&amp;(E$36+{0,1,2,3,4,5}),tblLeave[To],"&gt;="&amp;(E$36+{0,1,2,3,4,5}))&gt;0)*(COUNTIF(tblHolidays[Holiday Date],E$36+{0,1,2,3,4,5})=0)*(WEEKDAY(E$36+{0,1,2,3,4,5},2)&lt;=Settings!$J$17)))</f>
        <v>0</v>
      </c>
      <c r="F38" s="7" cm="1">
        <f t="array" aca="1" ref="F38" ca="1">IF($A$38="","",SUMPRODUCT((COUNTIFS(tblLeave[Designer],$A$38,tblLeave[From],"&lt;="&amp;(F$36+{0,1,2,3,4,5}),tblLeave[To],"&gt;="&amp;(F$36+{0,1,2,3,4,5}))&gt;0)*(COUNTIF(tblHolidays[Holiday Date],F$36+{0,1,2,3,4,5})=0)*(WEEKDAY(F$36+{0,1,2,3,4,5},2)&lt;=Settings!$J$17)))</f>
        <v>0</v>
      </c>
      <c r="G38" s="7" cm="1">
        <f t="array" aca="1" ref="G38" ca="1">IF($A$38="","",SUMPRODUCT((COUNTIFS(tblLeave[Designer],$A$38,tblLeave[From],"&lt;="&amp;(G$36+{0,1,2,3,4,5}),tblLeave[To],"&gt;="&amp;(G$36+{0,1,2,3,4,5}))&gt;0)*(COUNTIF(tblHolidays[Holiday Date],G$36+{0,1,2,3,4,5})=0)*(WEEKDAY(G$36+{0,1,2,3,4,5},2)&lt;=Settings!$J$17)))</f>
        <v>0</v>
      </c>
      <c r="H38" s="7" cm="1">
        <f t="array" aca="1" ref="H38" ca="1">IF($A$38="","",SUMPRODUCT((COUNTIFS(tblLeave[Designer],$A$38,tblLeave[From],"&lt;="&amp;(H$36+{0,1,2,3,4,5}),tblLeave[To],"&gt;="&amp;(H$36+{0,1,2,3,4,5}))&gt;0)*(COUNTIF(tblHolidays[Holiday Date],H$36+{0,1,2,3,4,5})=0)*(WEEKDAY(H$36+{0,1,2,3,4,5},2)&lt;=Settings!$J$17)))</f>
        <v>0</v>
      </c>
      <c r="I38" s="7" cm="1">
        <f t="array" aca="1" ref="I38" ca="1">IF($A$38="","",SUMPRODUCT((COUNTIFS(tblLeave[Designer],$A$38,tblLeave[From],"&lt;="&amp;(I$36+{0,1,2,3,4,5}),tblLeave[To],"&gt;="&amp;(I$36+{0,1,2,3,4,5}))&gt;0)*(COUNTIF(tblHolidays[Holiday Date],I$36+{0,1,2,3,4,5})=0)*(WEEKDAY(I$36+{0,1,2,3,4,5},2)&lt;=Settings!$J$17)))</f>
        <v>0</v>
      </c>
      <c r="J38" s="7" cm="1">
        <f t="array" aca="1" ref="J38" ca="1">IF($A$38="","",SUMPRODUCT((COUNTIFS(tblLeave[Designer],$A$38,tblLeave[From],"&lt;="&amp;(J$36+{0,1,2,3,4,5}),tblLeave[To],"&gt;="&amp;(J$36+{0,1,2,3,4,5}))&gt;0)*(COUNTIF(tblHolidays[Holiday Date],J$36+{0,1,2,3,4,5})=0)*(WEEKDAY(J$36+{0,1,2,3,4,5},2)&lt;=Settings!$J$17)))</f>
        <v>0</v>
      </c>
    </row>
    <row r="39" spans="1:10" x14ac:dyDescent="0.2">
      <c r="B39" s="67" t="s">
        <v>106</v>
      </c>
      <c r="C39" s="17">
        <f ca="1">IF($A$38="","",MAX(0,Settings!$J$17-C$37-C38)*Settings!$J$18)</f>
        <v>48</v>
      </c>
      <c r="D39" s="17">
        <f ca="1">IF($A$38="","",MAX(0,Settings!$J$17-D$37-D38)*Settings!$J$18)</f>
        <v>48</v>
      </c>
      <c r="E39" s="17">
        <f ca="1">IF($A$38="","",MAX(0,Settings!$J$17-E$37-E38)*Settings!$J$18)</f>
        <v>48</v>
      </c>
      <c r="F39" s="17">
        <f ca="1">IF($A$38="","",MAX(0,Settings!$J$17-F$37-F38)*Settings!$J$18)</f>
        <v>48</v>
      </c>
      <c r="G39" s="17">
        <f ca="1">IF($A$38="","",MAX(0,Settings!$J$17-G$37-G38)*Settings!$J$18)</f>
        <v>48</v>
      </c>
      <c r="H39" s="17">
        <f ca="1">IF($A$38="","",MAX(0,Settings!$J$17-H$37-H38)*Settings!$J$18)</f>
        <v>48</v>
      </c>
      <c r="I39" s="17">
        <f ca="1">IF($A$38="","",MAX(0,Settings!$J$17-I$37-I38)*Settings!$J$18)</f>
        <v>48</v>
      </c>
      <c r="J39" s="17">
        <f ca="1">IF($A$38="","",MAX(0,Settings!$J$17-J$37-J38)*Settings!$J$18)</f>
        <v>48</v>
      </c>
    </row>
    <row r="40" spans="1:10" x14ac:dyDescent="0.2">
      <c r="B40" s="67" t="s">
        <v>107</v>
      </c>
      <c r="C40" s="17" cm="1">
        <f t="array" aca="1" ref="C40" ca="1">IF($A$38="","",SUMPRODUCT(SUMIFS(tblTasks[Hours per Working Day],tblTasks[Designer],$A$38,tblTasks[Start Date],"&lt;="&amp;(C$36+{0,1,2,3,4,5}),tblTasks[Target End Date],"&gt;="&amp;(C$36+{0,1,2,3,4,5}))*(COUNTIF(tblHolidays[Holiday Date],C$36+{0,1,2,3,4,5})=0)*(WEEKDAY(C$36+{0,1,2,3,4,5},2)&lt;=Settings!$J$17)))</f>
        <v>0</v>
      </c>
      <c r="D40" s="17" cm="1">
        <f t="array" aca="1" ref="D40" ca="1">IF($A$38="","",SUMPRODUCT(SUMIFS(tblTasks[Hours per Working Day],tblTasks[Designer],$A$38,tblTasks[Start Date],"&lt;="&amp;(D$36+{0,1,2,3,4,5}),tblTasks[Target End Date],"&gt;="&amp;(D$36+{0,1,2,3,4,5}))*(COUNTIF(tblHolidays[Holiday Date],D$36+{0,1,2,3,4,5})=0)*(WEEKDAY(D$36+{0,1,2,3,4,5},2)&lt;=Settings!$J$17)))</f>
        <v>0</v>
      </c>
      <c r="E40" s="17" cm="1">
        <f t="array" aca="1" ref="E40" ca="1">IF($A$38="","",SUMPRODUCT(SUMIFS(tblTasks[Hours per Working Day],tblTasks[Designer],$A$38,tblTasks[Start Date],"&lt;="&amp;(E$36+{0,1,2,3,4,5}),tblTasks[Target End Date],"&gt;="&amp;(E$36+{0,1,2,3,4,5}))*(COUNTIF(tblHolidays[Holiday Date],E$36+{0,1,2,3,4,5})=0)*(WEEKDAY(E$36+{0,1,2,3,4,5},2)&lt;=Settings!$J$17)))</f>
        <v>0</v>
      </c>
      <c r="F40" s="17" cm="1">
        <f t="array" aca="1" ref="F40" ca="1">IF($A$38="","",SUMPRODUCT(SUMIFS(tblTasks[Hours per Working Day],tblTasks[Designer],$A$38,tblTasks[Start Date],"&lt;="&amp;(F$36+{0,1,2,3,4,5}),tblTasks[Target End Date],"&gt;="&amp;(F$36+{0,1,2,3,4,5}))*(COUNTIF(tblHolidays[Holiday Date],F$36+{0,1,2,3,4,5})=0)*(WEEKDAY(F$36+{0,1,2,3,4,5},2)&lt;=Settings!$J$17)))</f>
        <v>0</v>
      </c>
      <c r="G40" s="17" cm="1">
        <f t="array" aca="1" ref="G40" ca="1">IF($A$38="","",SUMPRODUCT(SUMIFS(tblTasks[Hours per Working Day],tblTasks[Designer],$A$38,tblTasks[Start Date],"&lt;="&amp;(G$36+{0,1,2,3,4,5}),tblTasks[Target End Date],"&gt;="&amp;(G$36+{0,1,2,3,4,5}))*(COUNTIF(tblHolidays[Holiday Date],G$36+{0,1,2,3,4,5})=0)*(WEEKDAY(G$36+{0,1,2,3,4,5},2)&lt;=Settings!$J$17)))</f>
        <v>0</v>
      </c>
      <c r="H40" s="17" cm="1">
        <f t="array" aca="1" ref="H40" ca="1">IF($A$38="","",SUMPRODUCT(SUMIFS(tblTasks[Hours per Working Day],tblTasks[Designer],$A$38,tblTasks[Start Date],"&lt;="&amp;(H$36+{0,1,2,3,4,5}),tblTasks[Target End Date],"&gt;="&amp;(H$36+{0,1,2,3,4,5}))*(COUNTIF(tblHolidays[Holiday Date],H$36+{0,1,2,3,4,5})=0)*(WEEKDAY(H$36+{0,1,2,3,4,5},2)&lt;=Settings!$J$17)))</f>
        <v>0</v>
      </c>
      <c r="I40" s="17" cm="1">
        <f t="array" aca="1" ref="I40" ca="1">IF($A$38="","",SUMPRODUCT(SUMIFS(tblTasks[Hours per Working Day],tblTasks[Designer],$A$38,tblTasks[Start Date],"&lt;="&amp;(I$36+{0,1,2,3,4,5}),tblTasks[Target End Date],"&gt;="&amp;(I$36+{0,1,2,3,4,5}))*(COUNTIF(tblHolidays[Holiday Date],I$36+{0,1,2,3,4,5})=0)*(WEEKDAY(I$36+{0,1,2,3,4,5},2)&lt;=Settings!$J$17)))</f>
        <v>0</v>
      </c>
      <c r="J40" s="17" cm="1">
        <f t="array" aca="1" ref="J40" ca="1">IF($A$38="","",SUMPRODUCT(SUMIFS(tblTasks[Hours per Working Day],tblTasks[Designer],$A$38,tblTasks[Start Date],"&lt;="&amp;(J$36+{0,1,2,3,4,5}),tblTasks[Target End Date],"&gt;="&amp;(J$36+{0,1,2,3,4,5}))*(COUNTIF(tblHolidays[Holiday Date],J$36+{0,1,2,3,4,5})=0)*(WEEKDAY(J$36+{0,1,2,3,4,5},2)&lt;=Settings!$J$17)))</f>
        <v>0</v>
      </c>
    </row>
    <row r="41" spans="1:10" x14ac:dyDescent="0.2">
      <c r="B41" s="67" t="s">
        <v>108</v>
      </c>
      <c r="C41" s="18">
        <f ca="1">IF($A$38="","",IF(C39=0,IF(C40&gt;0,"No capacity","-"),C40/C39))</f>
        <v>0</v>
      </c>
      <c r="D41" s="18">
        <f ca="1">IF($A$38="","",IF(D39=0,IF(D40&gt;0,"No capacity","-"),D40/D39))</f>
        <v>0</v>
      </c>
      <c r="E41" s="18">
        <f ca="1">IF($A$38="","",IF(E39=0,IF(E40&gt;0,"No capacity","-"),E40/E39))</f>
        <v>0</v>
      </c>
      <c r="F41" s="18">
        <f ca="1">IF($A$38="","",IF(F39=0,IF(F40&gt;0,"No capacity","-"),F40/F39))</f>
        <v>0</v>
      </c>
      <c r="G41" s="18">
        <f ca="1">IF($A$38="","",IF(G39=0,IF(G40&gt;0,"No capacity","-"),G40/G39))</f>
        <v>0</v>
      </c>
      <c r="H41" s="18">
        <f ca="1">IF($A$38="","",IF(H39=0,IF(H40&gt;0,"No capacity","-"),H40/H39))</f>
        <v>0</v>
      </c>
      <c r="I41" s="18">
        <f ca="1">IF($A$38="","",IF(I39=0,IF(I40&gt;0,"No capacity","-"),I40/I39))</f>
        <v>0</v>
      </c>
      <c r="J41" s="18">
        <f ca="1">IF($A$38="","",IF(J39=0,IF(J40&gt;0,"No capacity","-"),J40/J39))</f>
        <v>0</v>
      </c>
    </row>
    <row r="42" spans="1:10" x14ac:dyDescent="0.2">
      <c r="B42" s="67" t="s">
        <v>109</v>
      </c>
      <c r="C42" s="68">
        <f ca="1">IF($A$38="","",C39-C40)</f>
        <v>48</v>
      </c>
      <c r="D42" s="68">
        <f ca="1">IF($A$38="","",D39-D40)</f>
        <v>48</v>
      </c>
      <c r="E42" s="68">
        <f ca="1">IF($A$38="","",E39-E40)</f>
        <v>48</v>
      </c>
      <c r="F42" s="68">
        <f ca="1">IF($A$38="","",F39-F40)</f>
        <v>48</v>
      </c>
      <c r="G42" s="68">
        <f ca="1">IF($A$38="","",G39-G40)</f>
        <v>48</v>
      </c>
      <c r="H42" s="68">
        <f ca="1">IF($A$38="","",H39-H40)</f>
        <v>48</v>
      </c>
      <c r="I42" s="68">
        <f ca="1">IF($A$38="","",I39-I40)</f>
        <v>48</v>
      </c>
      <c r="J42" s="68">
        <f ca="1">IF($A$38="","",J39-J40)</f>
        <v>48</v>
      </c>
    </row>
    <row r="43" spans="1:10" x14ac:dyDescent="0.2">
      <c r="A43" s="69"/>
      <c r="B43" s="70" t="s">
        <v>1</v>
      </c>
      <c r="C43" s="71" t="str">
        <f ca="1">IF($A$38="","",IF(C39=0,IF(C40&gt;0,"Overloaded","On leave / holiday"),IF(C41&gt;Settings!$J$20,"Overloaded",IF(C41&lt;Settings!$J$21,"Under-utilised","Balanced"))))</f>
        <v>Under-utilised</v>
      </c>
      <c r="D43" s="71" t="str">
        <f ca="1">IF($A$38="","",IF(D39=0,IF(D40&gt;0,"Overloaded","On leave / holiday"),IF(D41&gt;Settings!$J$20,"Overloaded",IF(D41&lt;Settings!$J$21,"Under-utilised","Balanced"))))</f>
        <v>Under-utilised</v>
      </c>
      <c r="E43" s="71" t="str">
        <f ca="1">IF($A$38="","",IF(E39=0,IF(E40&gt;0,"Overloaded","On leave / holiday"),IF(E41&gt;Settings!$J$20,"Overloaded",IF(E41&lt;Settings!$J$21,"Under-utilised","Balanced"))))</f>
        <v>Under-utilised</v>
      </c>
      <c r="F43" s="71" t="str">
        <f ca="1">IF($A$38="","",IF(F39=0,IF(F40&gt;0,"Overloaded","On leave / holiday"),IF(F41&gt;Settings!$J$20,"Overloaded",IF(F41&lt;Settings!$J$21,"Under-utilised","Balanced"))))</f>
        <v>Under-utilised</v>
      </c>
      <c r="G43" s="71" t="str">
        <f ca="1">IF($A$38="","",IF(G39=0,IF(G40&gt;0,"Overloaded","On leave / holiday"),IF(G41&gt;Settings!$J$20,"Overloaded",IF(G41&lt;Settings!$J$21,"Under-utilised","Balanced"))))</f>
        <v>Under-utilised</v>
      </c>
      <c r="H43" s="71" t="str">
        <f ca="1">IF($A$38="","",IF(H39=0,IF(H40&gt;0,"Overloaded","On leave / holiday"),IF(H41&gt;Settings!$J$20,"Overloaded",IF(H41&lt;Settings!$J$21,"Under-utilised","Balanced"))))</f>
        <v>Under-utilised</v>
      </c>
      <c r="I43" s="71" t="str">
        <f ca="1">IF($A$38="","",IF(I39=0,IF(I40&gt;0,"Overloaded","On leave / holiday"),IF(I41&gt;Settings!$J$20,"Overloaded",IF(I41&lt;Settings!$J$21,"Under-utilised","Balanced"))))</f>
        <v>Under-utilised</v>
      </c>
      <c r="J43" s="71" t="str">
        <f ca="1">IF($A$38="","",IF(J39=0,IF(J40&gt;0,"Overloaded","On leave / holiday"),IF(J41&gt;Settings!$J$20,"Overloaded",IF(J41&lt;Settings!$J$21,"Under-utilised","Balanced"))))</f>
        <v>Under-utilised</v>
      </c>
    </row>
    <row r="44" spans="1:10" x14ac:dyDescent="0.2">
      <c r="A44" s="35" t="str">
        <f>IF(Settings!A6="","",Settings!A6)</f>
        <v>Swathi</v>
      </c>
      <c r="B44" s="67" t="s">
        <v>105</v>
      </c>
      <c r="C44" s="7" cm="1">
        <f t="array" aca="1" ref="C44" ca="1">IF($A$44="","",SUMPRODUCT((COUNTIFS(tblLeave[Designer],$A$44,tblLeave[From],"&lt;="&amp;(C$36+{0,1,2,3,4,5}),tblLeave[To],"&gt;="&amp;(C$36+{0,1,2,3,4,5}))&gt;0)*(COUNTIF(tblHolidays[Holiday Date],C$36+{0,1,2,3,4,5})=0)*(WEEKDAY(C$36+{0,1,2,3,4,5},2)&lt;=Settings!$J$17)))</f>
        <v>0</v>
      </c>
      <c r="D44" s="7" cm="1">
        <f t="array" aca="1" ref="D44" ca="1">IF($A$44="","",SUMPRODUCT((COUNTIFS(tblLeave[Designer],$A$44,tblLeave[From],"&lt;="&amp;(D$36+{0,1,2,3,4,5}),tblLeave[To],"&gt;="&amp;(D$36+{0,1,2,3,4,5}))&gt;0)*(COUNTIF(tblHolidays[Holiday Date],D$36+{0,1,2,3,4,5})=0)*(WEEKDAY(D$36+{0,1,2,3,4,5},2)&lt;=Settings!$J$17)))</f>
        <v>0</v>
      </c>
      <c r="E44" s="7" cm="1">
        <f t="array" aca="1" ref="E44" ca="1">IF($A$44="","",SUMPRODUCT((COUNTIFS(tblLeave[Designer],$A$44,tblLeave[From],"&lt;="&amp;(E$36+{0,1,2,3,4,5}),tblLeave[To],"&gt;="&amp;(E$36+{0,1,2,3,4,5}))&gt;0)*(COUNTIF(tblHolidays[Holiday Date],E$36+{0,1,2,3,4,5})=0)*(WEEKDAY(E$36+{0,1,2,3,4,5},2)&lt;=Settings!$J$17)))</f>
        <v>0</v>
      </c>
      <c r="F44" s="7" cm="1">
        <f t="array" aca="1" ref="F44" ca="1">IF($A$44="","",SUMPRODUCT((COUNTIFS(tblLeave[Designer],$A$44,tblLeave[From],"&lt;="&amp;(F$36+{0,1,2,3,4,5}),tblLeave[To],"&gt;="&amp;(F$36+{0,1,2,3,4,5}))&gt;0)*(COUNTIF(tblHolidays[Holiday Date],F$36+{0,1,2,3,4,5})=0)*(WEEKDAY(F$36+{0,1,2,3,4,5},2)&lt;=Settings!$J$17)))</f>
        <v>0</v>
      </c>
      <c r="G44" s="7" cm="1">
        <f t="array" aca="1" ref="G44" ca="1">IF($A$44="","",SUMPRODUCT((COUNTIFS(tblLeave[Designer],$A$44,tblLeave[From],"&lt;="&amp;(G$36+{0,1,2,3,4,5}),tblLeave[To],"&gt;="&amp;(G$36+{0,1,2,3,4,5}))&gt;0)*(COUNTIF(tblHolidays[Holiday Date],G$36+{0,1,2,3,4,5})=0)*(WEEKDAY(G$36+{0,1,2,3,4,5},2)&lt;=Settings!$J$17)))</f>
        <v>0</v>
      </c>
      <c r="H44" s="7" cm="1">
        <f t="array" aca="1" ref="H44" ca="1">IF($A$44="","",SUMPRODUCT((COUNTIFS(tblLeave[Designer],$A$44,tblLeave[From],"&lt;="&amp;(H$36+{0,1,2,3,4,5}),tblLeave[To],"&gt;="&amp;(H$36+{0,1,2,3,4,5}))&gt;0)*(COUNTIF(tblHolidays[Holiday Date],H$36+{0,1,2,3,4,5})=0)*(WEEKDAY(H$36+{0,1,2,3,4,5},2)&lt;=Settings!$J$17)))</f>
        <v>0</v>
      </c>
      <c r="I44" s="7" cm="1">
        <f t="array" aca="1" ref="I44" ca="1">IF($A$44="","",SUMPRODUCT((COUNTIFS(tblLeave[Designer],$A$44,tblLeave[From],"&lt;="&amp;(I$36+{0,1,2,3,4,5}),tblLeave[To],"&gt;="&amp;(I$36+{0,1,2,3,4,5}))&gt;0)*(COUNTIF(tblHolidays[Holiday Date],I$36+{0,1,2,3,4,5})=0)*(WEEKDAY(I$36+{0,1,2,3,4,5},2)&lt;=Settings!$J$17)))</f>
        <v>0</v>
      </c>
      <c r="J44" s="7" cm="1">
        <f t="array" aca="1" ref="J44" ca="1">IF($A$44="","",SUMPRODUCT((COUNTIFS(tblLeave[Designer],$A$44,tblLeave[From],"&lt;="&amp;(J$36+{0,1,2,3,4,5}),tblLeave[To],"&gt;="&amp;(J$36+{0,1,2,3,4,5}))&gt;0)*(COUNTIF(tblHolidays[Holiday Date],J$36+{0,1,2,3,4,5})=0)*(WEEKDAY(J$36+{0,1,2,3,4,5},2)&lt;=Settings!$J$17)))</f>
        <v>0</v>
      </c>
    </row>
    <row r="45" spans="1:10" x14ac:dyDescent="0.2">
      <c r="B45" s="67" t="s">
        <v>106</v>
      </c>
      <c r="C45" s="17">
        <f ca="1">IF($A$44="","",MAX(0,Settings!$J$17-C$37-C44)*Settings!$J$18)</f>
        <v>48</v>
      </c>
      <c r="D45" s="17">
        <f ca="1">IF($A$44="","",MAX(0,Settings!$J$17-D$37-D44)*Settings!$J$18)</f>
        <v>48</v>
      </c>
      <c r="E45" s="17">
        <f ca="1">IF($A$44="","",MAX(0,Settings!$J$17-E$37-E44)*Settings!$J$18)</f>
        <v>48</v>
      </c>
      <c r="F45" s="17">
        <f ca="1">IF($A$44="","",MAX(0,Settings!$J$17-F$37-F44)*Settings!$J$18)</f>
        <v>48</v>
      </c>
      <c r="G45" s="17">
        <f ca="1">IF($A$44="","",MAX(0,Settings!$J$17-G$37-G44)*Settings!$J$18)</f>
        <v>48</v>
      </c>
      <c r="H45" s="17">
        <f ca="1">IF($A$44="","",MAX(0,Settings!$J$17-H$37-H44)*Settings!$J$18)</f>
        <v>48</v>
      </c>
      <c r="I45" s="17">
        <f ca="1">IF($A$44="","",MAX(0,Settings!$J$17-I$37-I44)*Settings!$J$18)</f>
        <v>48</v>
      </c>
      <c r="J45" s="17">
        <f ca="1">IF($A$44="","",MAX(0,Settings!$J$17-J$37-J44)*Settings!$J$18)</f>
        <v>48</v>
      </c>
    </row>
    <row r="46" spans="1:10" x14ac:dyDescent="0.2">
      <c r="B46" s="67" t="s">
        <v>107</v>
      </c>
      <c r="C46" s="17" cm="1">
        <f t="array" aca="1" ref="C46" ca="1">IF($A$44="","",SUMPRODUCT(SUMIFS(tblTasks[Hours per Working Day],tblTasks[Designer],$A$44,tblTasks[Start Date],"&lt;="&amp;(C$36+{0,1,2,3,4,5}),tblTasks[Target End Date],"&gt;="&amp;(C$36+{0,1,2,3,4,5}))*(COUNTIF(tblHolidays[Holiday Date],C$36+{0,1,2,3,4,5})=0)*(WEEKDAY(C$36+{0,1,2,3,4,5},2)&lt;=Settings!$J$17)))</f>
        <v>0</v>
      </c>
      <c r="D46" s="17" cm="1">
        <f t="array" aca="1" ref="D46" ca="1">IF($A$44="","",SUMPRODUCT(SUMIFS(tblTasks[Hours per Working Day],tblTasks[Designer],$A$44,tblTasks[Start Date],"&lt;="&amp;(D$36+{0,1,2,3,4,5}),tblTasks[Target End Date],"&gt;="&amp;(D$36+{0,1,2,3,4,5}))*(COUNTIF(tblHolidays[Holiday Date],D$36+{0,1,2,3,4,5})=0)*(WEEKDAY(D$36+{0,1,2,3,4,5},2)&lt;=Settings!$J$17)))</f>
        <v>0</v>
      </c>
      <c r="E46" s="17" cm="1">
        <f t="array" aca="1" ref="E46" ca="1">IF($A$44="","",SUMPRODUCT(SUMIFS(tblTasks[Hours per Working Day],tblTasks[Designer],$A$44,tblTasks[Start Date],"&lt;="&amp;(E$36+{0,1,2,3,4,5}),tblTasks[Target End Date],"&gt;="&amp;(E$36+{0,1,2,3,4,5}))*(COUNTIF(tblHolidays[Holiday Date],E$36+{0,1,2,3,4,5})=0)*(WEEKDAY(E$36+{0,1,2,3,4,5},2)&lt;=Settings!$J$17)))</f>
        <v>0</v>
      </c>
      <c r="F46" s="17" cm="1">
        <f t="array" aca="1" ref="F46" ca="1">IF($A$44="","",SUMPRODUCT(SUMIFS(tblTasks[Hours per Working Day],tblTasks[Designer],$A$44,tblTasks[Start Date],"&lt;="&amp;(F$36+{0,1,2,3,4,5}),tblTasks[Target End Date],"&gt;="&amp;(F$36+{0,1,2,3,4,5}))*(COUNTIF(tblHolidays[Holiday Date],F$36+{0,1,2,3,4,5})=0)*(WEEKDAY(F$36+{0,1,2,3,4,5},2)&lt;=Settings!$J$17)))</f>
        <v>0</v>
      </c>
      <c r="G46" s="17" cm="1">
        <f t="array" aca="1" ref="G46" ca="1">IF($A$44="","",SUMPRODUCT(SUMIFS(tblTasks[Hours per Working Day],tblTasks[Designer],$A$44,tblTasks[Start Date],"&lt;="&amp;(G$36+{0,1,2,3,4,5}),tblTasks[Target End Date],"&gt;="&amp;(G$36+{0,1,2,3,4,5}))*(COUNTIF(tblHolidays[Holiday Date],G$36+{0,1,2,3,4,5})=0)*(WEEKDAY(G$36+{0,1,2,3,4,5},2)&lt;=Settings!$J$17)))</f>
        <v>0</v>
      </c>
      <c r="H46" s="17" cm="1">
        <f t="array" aca="1" ref="H46" ca="1">IF($A$44="","",SUMPRODUCT(SUMIFS(tblTasks[Hours per Working Day],tblTasks[Designer],$A$44,tblTasks[Start Date],"&lt;="&amp;(H$36+{0,1,2,3,4,5}),tblTasks[Target End Date],"&gt;="&amp;(H$36+{0,1,2,3,4,5}))*(COUNTIF(tblHolidays[Holiday Date],H$36+{0,1,2,3,4,5})=0)*(WEEKDAY(H$36+{0,1,2,3,4,5},2)&lt;=Settings!$J$17)))</f>
        <v>0</v>
      </c>
      <c r="I46" s="17" cm="1">
        <f t="array" aca="1" ref="I46" ca="1">IF($A$44="","",SUMPRODUCT(SUMIFS(tblTasks[Hours per Working Day],tblTasks[Designer],$A$44,tblTasks[Start Date],"&lt;="&amp;(I$36+{0,1,2,3,4,5}),tblTasks[Target End Date],"&gt;="&amp;(I$36+{0,1,2,3,4,5}))*(COUNTIF(tblHolidays[Holiday Date],I$36+{0,1,2,3,4,5})=0)*(WEEKDAY(I$36+{0,1,2,3,4,5},2)&lt;=Settings!$J$17)))</f>
        <v>0</v>
      </c>
      <c r="J46" s="17" cm="1">
        <f t="array" aca="1" ref="J46" ca="1">IF($A$44="","",SUMPRODUCT(SUMIFS(tblTasks[Hours per Working Day],tblTasks[Designer],$A$44,tblTasks[Start Date],"&lt;="&amp;(J$36+{0,1,2,3,4,5}),tblTasks[Target End Date],"&gt;="&amp;(J$36+{0,1,2,3,4,5}))*(COUNTIF(tblHolidays[Holiday Date],J$36+{0,1,2,3,4,5})=0)*(WEEKDAY(J$36+{0,1,2,3,4,5},2)&lt;=Settings!$J$17)))</f>
        <v>0</v>
      </c>
    </row>
    <row r="47" spans="1:10" x14ac:dyDescent="0.2">
      <c r="B47" s="67" t="s">
        <v>108</v>
      </c>
      <c r="C47" s="18">
        <f ca="1">IF($A$44="","",IF(C45=0,IF(C46&gt;0,"No capacity","-"),C46/C45))</f>
        <v>0</v>
      </c>
      <c r="D47" s="18">
        <f ca="1">IF($A$44="","",IF(D45=0,IF(D46&gt;0,"No capacity","-"),D46/D45))</f>
        <v>0</v>
      </c>
      <c r="E47" s="18">
        <f ca="1">IF($A$44="","",IF(E45=0,IF(E46&gt;0,"No capacity","-"),E46/E45))</f>
        <v>0</v>
      </c>
      <c r="F47" s="18">
        <f ca="1">IF($A$44="","",IF(F45=0,IF(F46&gt;0,"No capacity","-"),F46/F45))</f>
        <v>0</v>
      </c>
      <c r="G47" s="18">
        <f ca="1">IF($A$44="","",IF(G45=0,IF(G46&gt;0,"No capacity","-"),G46/G45))</f>
        <v>0</v>
      </c>
      <c r="H47" s="18">
        <f ca="1">IF($A$44="","",IF(H45=0,IF(H46&gt;0,"No capacity","-"),H46/H45))</f>
        <v>0</v>
      </c>
      <c r="I47" s="18">
        <f ca="1">IF($A$44="","",IF(I45=0,IF(I46&gt;0,"No capacity","-"),I46/I45))</f>
        <v>0</v>
      </c>
      <c r="J47" s="18">
        <f ca="1">IF($A$44="","",IF(J45=0,IF(J46&gt;0,"No capacity","-"),J46/J45))</f>
        <v>0</v>
      </c>
    </row>
    <row r="48" spans="1:10" x14ac:dyDescent="0.2">
      <c r="B48" s="67" t="s">
        <v>109</v>
      </c>
      <c r="C48" s="68">
        <f ca="1">IF($A$44="","",C45-C46)</f>
        <v>48</v>
      </c>
      <c r="D48" s="68">
        <f ca="1">IF($A$44="","",D45-D46)</f>
        <v>48</v>
      </c>
      <c r="E48" s="68">
        <f ca="1">IF($A$44="","",E45-E46)</f>
        <v>48</v>
      </c>
      <c r="F48" s="68">
        <f ca="1">IF($A$44="","",F45-F46)</f>
        <v>48</v>
      </c>
      <c r="G48" s="68">
        <f ca="1">IF($A$44="","",G45-G46)</f>
        <v>48</v>
      </c>
      <c r="H48" s="68">
        <f ca="1">IF($A$44="","",H45-H46)</f>
        <v>48</v>
      </c>
      <c r="I48" s="68">
        <f ca="1">IF($A$44="","",I45-I46)</f>
        <v>48</v>
      </c>
      <c r="J48" s="68">
        <f ca="1">IF($A$44="","",J45-J46)</f>
        <v>48</v>
      </c>
    </row>
    <row r="49" spans="1:10" x14ac:dyDescent="0.2">
      <c r="A49" s="69"/>
      <c r="B49" s="70" t="s">
        <v>1</v>
      </c>
      <c r="C49" s="71" t="str">
        <f ca="1">IF($A$44="","",IF(C45=0,IF(C46&gt;0,"Overloaded","On leave / holiday"),IF(C47&gt;Settings!$J$20,"Overloaded",IF(C47&lt;Settings!$J$21,"Under-utilised","Balanced"))))</f>
        <v>Under-utilised</v>
      </c>
      <c r="D49" s="71" t="str">
        <f ca="1">IF($A$44="","",IF(D45=0,IF(D46&gt;0,"Overloaded","On leave / holiday"),IF(D47&gt;Settings!$J$20,"Overloaded",IF(D47&lt;Settings!$J$21,"Under-utilised","Balanced"))))</f>
        <v>Under-utilised</v>
      </c>
      <c r="E49" s="71" t="str">
        <f ca="1">IF($A$44="","",IF(E45=0,IF(E46&gt;0,"Overloaded","On leave / holiday"),IF(E47&gt;Settings!$J$20,"Overloaded",IF(E47&lt;Settings!$J$21,"Under-utilised","Balanced"))))</f>
        <v>Under-utilised</v>
      </c>
      <c r="F49" s="71" t="str">
        <f ca="1">IF($A$44="","",IF(F45=0,IF(F46&gt;0,"Overloaded","On leave / holiday"),IF(F47&gt;Settings!$J$20,"Overloaded",IF(F47&lt;Settings!$J$21,"Under-utilised","Balanced"))))</f>
        <v>Under-utilised</v>
      </c>
      <c r="G49" s="71" t="str">
        <f ca="1">IF($A$44="","",IF(G45=0,IF(G46&gt;0,"Overloaded","On leave / holiday"),IF(G47&gt;Settings!$J$20,"Overloaded",IF(G47&lt;Settings!$J$21,"Under-utilised","Balanced"))))</f>
        <v>Under-utilised</v>
      </c>
      <c r="H49" s="71" t="str">
        <f ca="1">IF($A$44="","",IF(H45=0,IF(H46&gt;0,"Overloaded","On leave / holiday"),IF(H47&gt;Settings!$J$20,"Overloaded",IF(H47&lt;Settings!$J$21,"Under-utilised","Balanced"))))</f>
        <v>Under-utilised</v>
      </c>
      <c r="I49" s="71" t="str">
        <f ca="1">IF($A$44="","",IF(I45=0,IF(I46&gt;0,"Overloaded","On leave / holiday"),IF(I47&gt;Settings!$J$20,"Overloaded",IF(I47&lt;Settings!$J$21,"Under-utilised","Balanced"))))</f>
        <v>Under-utilised</v>
      </c>
      <c r="J49" s="71" t="str">
        <f ca="1">IF($A$44="","",IF(J45=0,IF(J46&gt;0,"Overloaded","On leave / holiday"),IF(J47&gt;Settings!$J$20,"Overloaded",IF(J47&lt;Settings!$J$21,"Under-utilised","Balanced"))))</f>
        <v>Under-utilised</v>
      </c>
    </row>
    <row r="50" spans="1:10" x14ac:dyDescent="0.2">
      <c r="A50" s="35" t="str">
        <f>IF(Settings!A7="","",Settings!A7)</f>
        <v/>
      </c>
      <c r="B50" s="67" t="s">
        <v>105</v>
      </c>
      <c r="C50" s="7" t="str" cm="1">
        <f t="array" ref="C50">IF($A$50="","",SUMPRODUCT((COUNTIFS(tblLeave[Designer],$A$50,tblLeave[From],"&lt;="&amp;(C$36+{0,1,2,3,4,5}),tblLeave[To],"&gt;="&amp;(C$36+{0,1,2,3,4,5}))&gt;0)*(COUNTIF(tblHolidays[Holiday Date],C$36+{0,1,2,3,4,5})=0)*(WEEKDAY(C$36+{0,1,2,3,4,5},2)&lt;=Settings!$J$17)))</f>
        <v/>
      </c>
      <c r="D50" s="7" t="str" cm="1">
        <f t="array" ref="D50">IF($A$50="","",SUMPRODUCT((COUNTIFS(tblLeave[Designer],$A$50,tblLeave[From],"&lt;="&amp;(D$36+{0,1,2,3,4,5}),tblLeave[To],"&gt;="&amp;(D$36+{0,1,2,3,4,5}))&gt;0)*(COUNTIF(tblHolidays[Holiday Date],D$36+{0,1,2,3,4,5})=0)*(WEEKDAY(D$36+{0,1,2,3,4,5},2)&lt;=Settings!$J$17)))</f>
        <v/>
      </c>
      <c r="E50" s="7" t="str" cm="1">
        <f t="array" ref="E50">IF($A$50="","",SUMPRODUCT((COUNTIFS(tblLeave[Designer],$A$50,tblLeave[From],"&lt;="&amp;(E$36+{0,1,2,3,4,5}),tblLeave[To],"&gt;="&amp;(E$36+{0,1,2,3,4,5}))&gt;0)*(COUNTIF(tblHolidays[Holiday Date],E$36+{0,1,2,3,4,5})=0)*(WEEKDAY(E$36+{0,1,2,3,4,5},2)&lt;=Settings!$J$17)))</f>
        <v/>
      </c>
      <c r="F50" s="7" t="str" cm="1">
        <f t="array" ref="F50">IF($A$50="","",SUMPRODUCT((COUNTIFS(tblLeave[Designer],$A$50,tblLeave[From],"&lt;="&amp;(F$36+{0,1,2,3,4,5}),tblLeave[To],"&gt;="&amp;(F$36+{0,1,2,3,4,5}))&gt;0)*(COUNTIF(tblHolidays[Holiday Date],F$36+{0,1,2,3,4,5})=0)*(WEEKDAY(F$36+{0,1,2,3,4,5},2)&lt;=Settings!$J$17)))</f>
        <v/>
      </c>
      <c r="G50" s="7" t="str" cm="1">
        <f t="array" ref="G50">IF($A$50="","",SUMPRODUCT((COUNTIFS(tblLeave[Designer],$A$50,tblLeave[From],"&lt;="&amp;(G$36+{0,1,2,3,4,5}),tblLeave[To],"&gt;="&amp;(G$36+{0,1,2,3,4,5}))&gt;0)*(COUNTIF(tblHolidays[Holiday Date],G$36+{0,1,2,3,4,5})=0)*(WEEKDAY(G$36+{0,1,2,3,4,5},2)&lt;=Settings!$J$17)))</f>
        <v/>
      </c>
      <c r="H50" s="7" t="str" cm="1">
        <f t="array" ref="H50">IF($A$50="","",SUMPRODUCT((COUNTIFS(tblLeave[Designer],$A$50,tblLeave[From],"&lt;="&amp;(H$36+{0,1,2,3,4,5}),tblLeave[To],"&gt;="&amp;(H$36+{0,1,2,3,4,5}))&gt;0)*(COUNTIF(tblHolidays[Holiday Date],H$36+{0,1,2,3,4,5})=0)*(WEEKDAY(H$36+{0,1,2,3,4,5},2)&lt;=Settings!$J$17)))</f>
        <v/>
      </c>
      <c r="I50" s="7" t="str" cm="1">
        <f t="array" ref="I50">IF($A$50="","",SUMPRODUCT((COUNTIFS(tblLeave[Designer],$A$50,tblLeave[From],"&lt;="&amp;(I$36+{0,1,2,3,4,5}),tblLeave[To],"&gt;="&amp;(I$36+{0,1,2,3,4,5}))&gt;0)*(COUNTIF(tblHolidays[Holiday Date],I$36+{0,1,2,3,4,5})=0)*(WEEKDAY(I$36+{0,1,2,3,4,5},2)&lt;=Settings!$J$17)))</f>
        <v/>
      </c>
      <c r="J50" s="7" t="str" cm="1">
        <f t="array" ref="J50">IF($A$50="","",SUMPRODUCT((COUNTIFS(tblLeave[Designer],$A$50,tblLeave[From],"&lt;="&amp;(J$36+{0,1,2,3,4,5}),tblLeave[To],"&gt;="&amp;(J$36+{0,1,2,3,4,5}))&gt;0)*(COUNTIF(tblHolidays[Holiday Date],J$36+{0,1,2,3,4,5})=0)*(WEEKDAY(J$36+{0,1,2,3,4,5},2)&lt;=Settings!$J$17)))</f>
        <v/>
      </c>
    </row>
    <row r="51" spans="1:10" x14ac:dyDescent="0.2">
      <c r="B51" s="67" t="s">
        <v>106</v>
      </c>
      <c r="C51" s="17" t="str">
        <f>IF($A$50="","",MAX(0,Settings!$J$17-C$37-C50)*Settings!$J$18)</f>
        <v/>
      </c>
      <c r="D51" s="17" t="str">
        <f>IF($A$50="","",MAX(0,Settings!$J$17-D$37-D50)*Settings!$J$18)</f>
        <v/>
      </c>
      <c r="E51" s="17" t="str">
        <f>IF($A$50="","",MAX(0,Settings!$J$17-E$37-E50)*Settings!$J$18)</f>
        <v/>
      </c>
      <c r="F51" s="17" t="str">
        <f>IF($A$50="","",MAX(0,Settings!$J$17-F$37-F50)*Settings!$J$18)</f>
        <v/>
      </c>
      <c r="G51" s="17" t="str">
        <f>IF($A$50="","",MAX(0,Settings!$J$17-G$37-G50)*Settings!$J$18)</f>
        <v/>
      </c>
      <c r="H51" s="17" t="str">
        <f>IF($A$50="","",MAX(0,Settings!$J$17-H$37-H50)*Settings!$J$18)</f>
        <v/>
      </c>
      <c r="I51" s="17" t="str">
        <f>IF($A$50="","",MAX(0,Settings!$J$17-I$37-I50)*Settings!$J$18)</f>
        <v/>
      </c>
      <c r="J51" s="17" t="str">
        <f>IF($A$50="","",MAX(0,Settings!$J$17-J$37-J50)*Settings!$J$18)</f>
        <v/>
      </c>
    </row>
    <row r="52" spans="1:10" x14ac:dyDescent="0.2">
      <c r="B52" s="67" t="s">
        <v>107</v>
      </c>
      <c r="C52" s="17" t="str" cm="1">
        <f t="array" ref="C52">IF($A$50="","",SUMPRODUCT(SUMIFS(tblTasks[Hours per Working Day],tblTasks[Designer],$A$50,tblTasks[Start Date],"&lt;="&amp;(C$36+{0,1,2,3,4,5}),tblTasks[Target End Date],"&gt;="&amp;(C$36+{0,1,2,3,4,5}))*(COUNTIF(tblHolidays[Holiday Date],C$36+{0,1,2,3,4,5})=0)*(WEEKDAY(C$36+{0,1,2,3,4,5},2)&lt;=Settings!$J$17)))</f>
        <v/>
      </c>
      <c r="D52" s="17" t="str" cm="1">
        <f t="array" ref="D52">IF($A$50="","",SUMPRODUCT(SUMIFS(tblTasks[Hours per Working Day],tblTasks[Designer],$A$50,tblTasks[Start Date],"&lt;="&amp;(D$36+{0,1,2,3,4,5}),tblTasks[Target End Date],"&gt;="&amp;(D$36+{0,1,2,3,4,5}))*(COUNTIF(tblHolidays[Holiday Date],D$36+{0,1,2,3,4,5})=0)*(WEEKDAY(D$36+{0,1,2,3,4,5},2)&lt;=Settings!$J$17)))</f>
        <v/>
      </c>
      <c r="E52" s="17" t="str" cm="1">
        <f t="array" ref="E52">IF($A$50="","",SUMPRODUCT(SUMIFS(tblTasks[Hours per Working Day],tblTasks[Designer],$A$50,tblTasks[Start Date],"&lt;="&amp;(E$36+{0,1,2,3,4,5}),tblTasks[Target End Date],"&gt;="&amp;(E$36+{0,1,2,3,4,5}))*(COUNTIF(tblHolidays[Holiday Date],E$36+{0,1,2,3,4,5})=0)*(WEEKDAY(E$36+{0,1,2,3,4,5},2)&lt;=Settings!$J$17)))</f>
        <v/>
      </c>
      <c r="F52" s="17" t="str" cm="1">
        <f t="array" ref="F52">IF($A$50="","",SUMPRODUCT(SUMIFS(tblTasks[Hours per Working Day],tblTasks[Designer],$A$50,tblTasks[Start Date],"&lt;="&amp;(F$36+{0,1,2,3,4,5}),tblTasks[Target End Date],"&gt;="&amp;(F$36+{0,1,2,3,4,5}))*(COUNTIF(tblHolidays[Holiday Date],F$36+{0,1,2,3,4,5})=0)*(WEEKDAY(F$36+{0,1,2,3,4,5},2)&lt;=Settings!$J$17)))</f>
        <v/>
      </c>
      <c r="G52" s="17" t="str" cm="1">
        <f t="array" ref="G52">IF($A$50="","",SUMPRODUCT(SUMIFS(tblTasks[Hours per Working Day],tblTasks[Designer],$A$50,tblTasks[Start Date],"&lt;="&amp;(G$36+{0,1,2,3,4,5}),tblTasks[Target End Date],"&gt;="&amp;(G$36+{0,1,2,3,4,5}))*(COUNTIF(tblHolidays[Holiday Date],G$36+{0,1,2,3,4,5})=0)*(WEEKDAY(G$36+{0,1,2,3,4,5},2)&lt;=Settings!$J$17)))</f>
        <v/>
      </c>
      <c r="H52" s="17" t="str" cm="1">
        <f t="array" ref="H52">IF($A$50="","",SUMPRODUCT(SUMIFS(tblTasks[Hours per Working Day],tblTasks[Designer],$A$50,tblTasks[Start Date],"&lt;="&amp;(H$36+{0,1,2,3,4,5}),tblTasks[Target End Date],"&gt;="&amp;(H$36+{0,1,2,3,4,5}))*(COUNTIF(tblHolidays[Holiday Date],H$36+{0,1,2,3,4,5})=0)*(WEEKDAY(H$36+{0,1,2,3,4,5},2)&lt;=Settings!$J$17)))</f>
        <v/>
      </c>
      <c r="I52" s="17" t="str" cm="1">
        <f t="array" ref="I52">IF($A$50="","",SUMPRODUCT(SUMIFS(tblTasks[Hours per Working Day],tblTasks[Designer],$A$50,tblTasks[Start Date],"&lt;="&amp;(I$36+{0,1,2,3,4,5}),tblTasks[Target End Date],"&gt;="&amp;(I$36+{0,1,2,3,4,5}))*(COUNTIF(tblHolidays[Holiday Date],I$36+{0,1,2,3,4,5})=0)*(WEEKDAY(I$36+{0,1,2,3,4,5},2)&lt;=Settings!$J$17)))</f>
        <v/>
      </c>
      <c r="J52" s="17" t="str" cm="1">
        <f t="array" ref="J52">IF($A$50="","",SUMPRODUCT(SUMIFS(tblTasks[Hours per Working Day],tblTasks[Designer],$A$50,tblTasks[Start Date],"&lt;="&amp;(J$36+{0,1,2,3,4,5}),tblTasks[Target End Date],"&gt;="&amp;(J$36+{0,1,2,3,4,5}))*(COUNTIF(tblHolidays[Holiday Date],J$36+{0,1,2,3,4,5})=0)*(WEEKDAY(J$36+{0,1,2,3,4,5},2)&lt;=Settings!$J$17)))</f>
        <v/>
      </c>
    </row>
    <row r="53" spans="1:10" x14ac:dyDescent="0.2">
      <c r="B53" s="67" t="s">
        <v>108</v>
      </c>
      <c r="C53" s="18" t="str">
        <f>IF($A$50="","",IF(C51=0,IF(C52&gt;0,"No capacity","-"),C52/C51))</f>
        <v/>
      </c>
      <c r="D53" s="18" t="str">
        <f>IF($A$50="","",IF(D51=0,IF(D52&gt;0,"No capacity","-"),D52/D51))</f>
        <v/>
      </c>
      <c r="E53" s="18" t="str">
        <f>IF($A$50="","",IF(E51=0,IF(E52&gt;0,"No capacity","-"),E52/E51))</f>
        <v/>
      </c>
      <c r="F53" s="18" t="str">
        <f>IF($A$50="","",IF(F51=0,IF(F52&gt;0,"No capacity","-"),F52/F51))</f>
        <v/>
      </c>
      <c r="G53" s="18" t="str">
        <f>IF($A$50="","",IF(G51=0,IF(G52&gt;0,"No capacity","-"),G52/G51))</f>
        <v/>
      </c>
      <c r="H53" s="18" t="str">
        <f>IF($A$50="","",IF(H51=0,IF(H52&gt;0,"No capacity","-"),H52/H51))</f>
        <v/>
      </c>
      <c r="I53" s="18" t="str">
        <f>IF($A$50="","",IF(I51=0,IF(I52&gt;0,"No capacity","-"),I52/I51))</f>
        <v/>
      </c>
      <c r="J53" s="18" t="str">
        <f>IF($A$50="","",IF(J51=0,IF(J52&gt;0,"No capacity","-"),J52/J51))</f>
        <v/>
      </c>
    </row>
    <row r="54" spans="1:10" x14ac:dyDescent="0.2">
      <c r="B54" s="67" t="s">
        <v>109</v>
      </c>
      <c r="C54" s="68" t="str">
        <f>IF($A$50="","",C51-C52)</f>
        <v/>
      </c>
      <c r="D54" s="68" t="str">
        <f>IF($A$50="","",D51-D52)</f>
        <v/>
      </c>
      <c r="E54" s="68" t="str">
        <f>IF($A$50="","",E51-E52)</f>
        <v/>
      </c>
      <c r="F54" s="68" t="str">
        <f>IF($A$50="","",F51-F52)</f>
        <v/>
      </c>
      <c r="G54" s="68" t="str">
        <f>IF($A$50="","",G51-G52)</f>
        <v/>
      </c>
      <c r="H54" s="68" t="str">
        <f>IF($A$50="","",H51-H52)</f>
        <v/>
      </c>
      <c r="I54" s="68" t="str">
        <f>IF($A$50="","",I51-I52)</f>
        <v/>
      </c>
      <c r="J54" s="68" t="str">
        <f>IF($A$50="","",J51-J52)</f>
        <v/>
      </c>
    </row>
    <row r="55" spans="1:10" x14ac:dyDescent="0.2">
      <c r="A55" s="69"/>
      <c r="B55" s="70" t="s">
        <v>1</v>
      </c>
      <c r="C55" s="71" t="str">
        <f>IF($A$50="","",IF(C51=0,IF(C52&gt;0,"Overloaded","On leave / holiday"),IF(C53&gt;Settings!$J$20,"Overloaded",IF(C53&lt;Settings!$J$21,"Under-utilised","Balanced"))))</f>
        <v/>
      </c>
      <c r="D55" s="71" t="str">
        <f>IF($A$50="","",IF(D51=0,IF(D52&gt;0,"Overloaded","On leave / holiday"),IF(D53&gt;Settings!$J$20,"Overloaded",IF(D53&lt;Settings!$J$21,"Under-utilised","Balanced"))))</f>
        <v/>
      </c>
      <c r="E55" s="71" t="str">
        <f>IF($A$50="","",IF(E51=0,IF(E52&gt;0,"Overloaded","On leave / holiday"),IF(E53&gt;Settings!$J$20,"Overloaded",IF(E53&lt;Settings!$J$21,"Under-utilised","Balanced"))))</f>
        <v/>
      </c>
      <c r="F55" s="71" t="str">
        <f>IF($A$50="","",IF(F51=0,IF(F52&gt;0,"Overloaded","On leave / holiday"),IF(F53&gt;Settings!$J$20,"Overloaded",IF(F53&lt;Settings!$J$21,"Under-utilised","Balanced"))))</f>
        <v/>
      </c>
      <c r="G55" s="71" t="str">
        <f>IF($A$50="","",IF(G51=0,IF(G52&gt;0,"Overloaded","On leave / holiday"),IF(G53&gt;Settings!$J$20,"Overloaded",IF(G53&lt;Settings!$J$21,"Under-utilised","Balanced"))))</f>
        <v/>
      </c>
      <c r="H55" s="71" t="str">
        <f>IF($A$50="","",IF(H51=0,IF(H52&gt;0,"Overloaded","On leave / holiday"),IF(H53&gt;Settings!$J$20,"Overloaded",IF(H53&lt;Settings!$J$21,"Under-utilised","Balanced"))))</f>
        <v/>
      </c>
      <c r="I55" s="71" t="str">
        <f>IF($A$50="","",IF(I51=0,IF(I52&gt;0,"Overloaded","On leave / holiday"),IF(I53&gt;Settings!$J$20,"Overloaded",IF(I53&lt;Settings!$J$21,"Under-utilised","Balanced"))))</f>
        <v/>
      </c>
      <c r="J55" s="71" t="str">
        <f>IF($A$50="","",IF(J51=0,IF(J52&gt;0,"Overloaded","On leave / holiday"),IF(J53&gt;Settings!$J$20,"Overloaded",IF(J53&lt;Settings!$J$21,"Under-utilised","Balanced"))))</f>
        <v/>
      </c>
    </row>
    <row r="56" spans="1:10" x14ac:dyDescent="0.2">
      <c r="A56" s="35" t="str">
        <f>IF(Settings!A8="","",Settings!A8)</f>
        <v/>
      </c>
      <c r="B56" s="67" t="s">
        <v>105</v>
      </c>
      <c r="C56" s="7" t="str" cm="1">
        <f t="array" ref="C56">IF($A$56="","",SUMPRODUCT((COUNTIFS(tblLeave[Designer],$A$56,tblLeave[From],"&lt;="&amp;(C$36+{0,1,2,3,4,5}),tblLeave[To],"&gt;="&amp;(C$36+{0,1,2,3,4,5}))&gt;0)*(COUNTIF(tblHolidays[Holiday Date],C$36+{0,1,2,3,4,5})=0)*(WEEKDAY(C$36+{0,1,2,3,4,5},2)&lt;=Settings!$J$17)))</f>
        <v/>
      </c>
      <c r="D56" s="7" t="str" cm="1">
        <f t="array" ref="D56">IF($A$56="","",SUMPRODUCT((COUNTIFS(tblLeave[Designer],$A$56,tblLeave[From],"&lt;="&amp;(D$36+{0,1,2,3,4,5}),tblLeave[To],"&gt;="&amp;(D$36+{0,1,2,3,4,5}))&gt;0)*(COUNTIF(tblHolidays[Holiday Date],D$36+{0,1,2,3,4,5})=0)*(WEEKDAY(D$36+{0,1,2,3,4,5},2)&lt;=Settings!$J$17)))</f>
        <v/>
      </c>
      <c r="E56" s="7" t="str" cm="1">
        <f t="array" ref="E56">IF($A$56="","",SUMPRODUCT((COUNTIFS(tblLeave[Designer],$A$56,tblLeave[From],"&lt;="&amp;(E$36+{0,1,2,3,4,5}),tblLeave[To],"&gt;="&amp;(E$36+{0,1,2,3,4,5}))&gt;0)*(COUNTIF(tblHolidays[Holiday Date],E$36+{0,1,2,3,4,5})=0)*(WEEKDAY(E$36+{0,1,2,3,4,5},2)&lt;=Settings!$J$17)))</f>
        <v/>
      </c>
      <c r="F56" s="7" t="str" cm="1">
        <f t="array" ref="F56">IF($A$56="","",SUMPRODUCT((COUNTIFS(tblLeave[Designer],$A$56,tblLeave[From],"&lt;="&amp;(F$36+{0,1,2,3,4,5}),tblLeave[To],"&gt;="&amp;(F$36+{0,1,2,3,4,5}))&gt;0)*(COUNTIF(tblHolidays[Holiday Date],F$36+{0,1,2,3,4,5})=0)*(WEEKDAY(F$36+{0,1,2,3,4,5},2)&lt;=Settings!$J$17)))</f>
        <v/>
      </c>
      <c r="G56" s="7" t="str" cm="1">
        <f t="array" ref="G56">IF($A$56="","",SUMPRODUCT((COUNTIFS(tblLeave[Designer],$A$56,tblLeave[From],"&lt;="&amp;(G$36+{0,1,2,3,4,5}),tblLeave[To],"&gt;="&amp;(G$36+{0,1,2,3,4,5}))&gt;0)*(COUNTIF(tblHolidays[Holiday Date],G$36+{0,1,2,3,4,5})=0)*(WEEKDAY(G$36+{0,1,2,3,4,5},2)&lt;=Settings!$J$17)))</f>
        <v/>
      </c>
      <c r="H56" s="7" t="str" cm="1">
        <f t="array" ref="H56">IF($A$56="","",SUMPRODUCT((COUNTIFS(tblLeave[Designer],$A$56,tblLeave[From],"&lt;="&amp;(H$36+{0,1,2,3,4,5}),tblLeave[To],"&gt;="&amp;(H$36+{0,1,2,3,4,5}))&gt;0)*(COUNTIF(tblHolidays[Holiday Date],H$36+{0,1,2,3,4,5})=0)*(WEEKDAY(H$36+{0,1,2,3,4,5},2)&lt;=Settings!$J$17)))</f>
        <v/>
      </c>
      <c r="I56" s="7" t="str" cm="1">
        <f t="array" ref="I56">IF($A$56="","",SUMPRODUCT((COUNTIFS(tblLeave[Designer],$A$56,tblLeave[From],"&lt;="&amp;(I$36+{0,1,2,3,4,5}),tblLeave[To],"&gt;="&amp;(I$36+{0,1,2,3,4,5}))&gt;0)*(COUNTIF(tblHolidays[Holiday Date],I$36+{0,1,2,3,4,5})=0)*(WEEKDAY(I$36+{0,1,2,3,4,5},2)&lt;=Settings!$J$17)))</f>
        <v/>
      </c>
      <c r="J56" s="7" t="str" cm="1">
        <f t="array" ref="J56">IF($A$56="","",SUMPRODUCT((COUNTIFS(tblLeave[Designer],$A$56,tblLeave[From],"&lt;="&amp;(J$36+{0,1,2,3,4,5}),tblLeave[To],"&gt;="&amp;(J$36+{0,1,2,3,4,5}))&gt;0)*(COUNTIF(tblHolidays[Holiday Date],J$36+{0,1,2,3,4,5})=0)*(WEEKDAY(J$36+{0,1,2,3,4,5},2)&lt;=Settings!$J$17)))</f>
        <v/>
      </c>
    </row>
    <row r="57" spans="1:10" x14ac:dyDescent="0.2">
      <c r="B57" s="67" t="s">
        <v>106</v>
      </c>
      <c r="C57" s="17" t="str">
        <f>IF($A$56="","",MAX(0,Settings!$J$17-C$37-C56)*Settings!$J$18)</f>
        <v/>
      </c>
      <c r="D57" s="17" t="str">
        <f>IF($A$56="","",MAX(0,Settings!$J$17-D$37-D56)*Settings!$J$18)</f>
        <v/>
      </c>
      <c r="E57" s="17" t="str">
        <f>IF($A$56="","",MAX(0,Settings!$J$17-E$37-E56)*Settings!$J$18)</f>
        <v/>
      </c>
      <c r="F57" s="17" t="str">
        <f>IF($A$56="","",MAX(0,Settings!$J$17-F$37-F56)*Settings!$J$18)</f>
        <v/>
      </c>
      <c r="G57" s="17" t="str">
        <f>IF($A$56="","",MAX(0,Settings!$J$17-G$37-G56)*Settings!$J$18)</f>
        <v/>
      </c>
      <c r="H57" s="17" t="str">
        <f>IF($A$56="","",MAX(0,Settings!$J$17-H$37-H56)*Settings!$J$18)</f>
        <v/>
      </c>
      <c r="I57" s="17" t="str">
        <f>IF($A$56="","",MAX(0,Settings!$J$17-I$37-I56)*Settings!$J$18)</f>
        <v/>
      </c>
      <c r="J57" s="17" t="str">
        <f>IF($A$56="","",MAX(0,Settings!$J$17-J$37-J56)*Settings!$J$18)</f>
        <v/>
      </c>
    </row>
    <row r="58" spans="1:10" x14ac:dyDescent="0.2">
      <c r="B58" s="67" t="s">
        <v>107</v>
      </c>
      <c r="C58" s="17" t="str" cm="1">
        <f t="array" ref="C58">IF($A$56="","",SUMPRODUCT(SUMIFS(tblTasks[Hours per Working Day],tblTasks[Designer],$A$56,tblTasks[Start Date],"&lt;="&amp;(C$36+{0,1,2,3,4,5}),tblTasks[Target End Date],"&gt;="&amp;(C$36+{0,1,2,3,4,5}))*(COUNTIF(tblHolidays[Holiday Date],C$36+{0,1,2,3,4,5})=0)*(WEEKDAY(C$36+{0,1,2,3,4,5},2)&lt;=Settings!$J$17)))</f>
        <v/>
      </c>
      <c r="D58" s="17" t="str" cm="1">
        <f t="array" ref="D58">IF($A$56="","",SUMPRODUCT(SUMIFS(tblTasks[Hours per Working Day],tblTasks[Designer],$A$56,tblTasks[Start Date],"&lt;="&amp;(D$36+{0,1,2,3,4,5}),tblTasks[Target End Date],"&gt;="&amp;(D$36+{0,1,2,3,4,5}))*(COUNTIF(tblHolidays[Holiday Date],D$36+{0,1,2,3,4,5})=0)*(WEEKDAY(D$36+{0,1,2,3,4,5},2)&lt;=Settings!$J$17)))</f>
        <v/>
      </c>
      <c r="E58" s="17" t="str" cm="1">
        <f t="array" ref="E58">IF($A$56="","",SUMPRODUCT(SUMIFS(tblTasks[Hours per Working Day],tblTasks[Designer],$A$56,tblTasks[Start Date],"&lt;="&amp;(E$36+{0,1,2,3,4,5}),tblTasks[Target End Date],"&gt;="&amp;(E$36+{0,1,2,3,4,5}))*(COUNTIF(tblHolidays[Holiday Date],E$36+{0,1,2,3,4,5})=0)*(WEEKDAY(E$36+{0,1,2,3,4,5},2)&lt;=Settings!$J$17)))</f>
        <v/>
      </c>
      <c r="F58" s="17" t="str" cm="1">
        <f t="array" ref="F58">IF($A$56="","",SUMPRODUCT(SUMIFS(tblTasks[Hours per Working Day],tblTasks[Designer],$A$56,tblTasks[Start Date],"&lt;="&amp;(F$36+{0,1,2,3,4,5}),tblTasks[Target End Date],"&gt;="&amp;(F$36+{0,1,2,3,4,5}))*(COUNTIF(tblHolidays[Holiday Date],F$36+{0,1,2,3,4,5})=0)*(WEEKDAY(F$36+{0,1,2,3,4,5},2)&lt;=Settings!$J$17)))</f>
        <v/>
      </c>
      <c r="G58" s="17" t="str" cm="1">
        <f t="array" ref="G58">IF($A$56="","",SUMPRODUCT(SUMIFS(tblTasks[Hours per Working Day],tblTasks[Designer],$A$56,tblTasks[Start Date],"&lt;="&amp;(G$36+{0,1,2,3,4,5}),tblTasks[Target End Date],"&gt;="&amp;(G$36+{0,1,2,3,4,5}))*(COUNTIF(tblHolidays[Holiday Date],G$36+{0,1,2,3,4,5})=0)*(WEEKDAY(G$36+{0,1,2,3,4,5},2)&lt;=Settings!$J$17)))</f>
        <v/>
      </c>
      <c r="H58" s="17" t="str" cm="1">
        <f t="array" ref="H58">IF($A$56="","",SUMPRODUCT(SUMIFS(tblTasks[Hours per Working Day],tblTasks[Designer],$A$56,tblTasks[Start Date],"&lt;="&amp;(H$36+{0,1,2,3,4,5}),tblTasks[Target End Date],"&gt;="&amp;(H$36+{0,1,2,3,4,5}))*(COUNTIF(tblHolidays[Holiday Date],H$36+{0,1,2,3,4,5})=0)*(WEEKDAY(H$36+{0,1,2,3,4,5},2)&lt;=Settings!$J$17)))</f>
        <v/>
      </c>
      <c r="I58" s="17" t="str" cm="1">
        <f t="array" ref="I58">IF($A$56="","",SUMPRODUCT(SUMIFS(tblTasks[Hours per Working Day],tblTasks[Designer],$A$56,tblTasks[Start Date],"&lt;="&amp;(I$36+{0,1,2,3,4,5}),tblTasks[Target End Date],"&gt;="&amp;(I$36+{0,1,2,3,4,5}))*(COUNTIF(tblHolidays[Holiday Date],I$36+{0,1,2,3,4,5})=0)*(WEEKDAY(I$36+{0,1,2,3,4,5},2)&lt;=Settings!$J$17)))</f>
        <v/>
      </c>
      <c r="J58" s="17" t="str" cm="1">
        <f t="array" ref="J58">IF($A$56="","",SUMPRODUCT(SUMIFS(tblTasks[Hours per Working Day],tblTasks[Designer],$A$56,tblTasks[Start Date],"&lt;="&amp;(J$36+{0,1,2,3,4,5}),tblTasks[Target End Date],"&gt;="&amp;(J$36+{0,1,2,3,4,5}))*(COUNTIF(tblHolidays[Holiday Date],J$36+{0,1,2,3,4,5})=0)*(WEEKDAY(J$36+{0,1,2,3,4,5},2)&lt;=Settings!$J$17)))</f>
        <v/>
      </c>
    </row>
    <row r="59" spans="1:10" x14ac:dyDescent="0.2">
      <c r="B59" s="67" t="s">
        <v>108</v>
      </c>
      <c r="C59" s="18" t="str">
        <f>IF($A$56="","",IF(C57=0,IF(C58&gt;0,"No capacity","-"),C58/C57))</f>
        <v/>
      </c>
      <c r="D59" s="18" t="str">
        <f>IF($A$56="","",IF(D57=0,IF(D58&gt;0,"No capacity","-"),D58/D57))</f>
        <v/>
      </c>
      <c r="E59" s="18" t="str">
        <f>IF($A$56="","",IF(E57=0,IF(E58&gt;0,"No capacity","-"),E58/E57))</f>
        <v/>
      </c>
      <c r="F59" s="18" t="str">
        <f>IF($A$56="","",IF(F57=0,IF(F58&gt;0,"No capacity","-"),F58/F57))</f>
        <v/>
      </c>
      <c r="G59" s="18" t="str">
        <f>IF($A$56="","",IF(G57=0,IF(G58&gt;0,"No capacity","-"),G58/G57))</f>
        <v/>
      </c>
      <c r="H59" s="18" t="str">
        <f>IF($A$56="","",IF(H57=0,IF(H58&gt;0,"No capacity","-"),H58/H57))</f>
        <v/>
      </c>
      <c r="I59" s="18" t="str">
        <f>IF($A$56="","",IF(I57=0,IF(I58&gt;0,"No capacity","-"),I58/I57))</f>
        <v/>
      </c>
      <c r="J59" s="18" t="str">
        <f>IF($A$56="","",IF(J57=0,IF(J58&gt;0,"No capacity","-"),J58/J57))</f>
        <v/>
      </c>
    </row>
    <row r="60" spans="1:10" x14ac:dyDescent="0.2">
      <c r="B60" s="67" t="s">
        <v>109</v>
      </c>
      <c r="C60" s="68" t="str">
        <f>IF($A$56="","",C57-C58)</f>
        <v/>
      </c>
      <c r="D60" s="68" t="str">
        <f>IF($A$56="","",D57-D58)</f>
        <v/>
      </c>
      <c r="E60" s="68" t="str">
        <f>IF($A$56="","",E57-E58)</f>
        <v/>
      </c>
      <c r="F60" s="68" t="str">
        <f>IF($A$56="","",F57-F58)</f>
        <v/>
      </c>
      <c r="G60" s="68" t="str">
        <f>IF($A$56="","",G57-G58)</f>
        <v/>
      </c>
      <c r="H60" s="68" t="str">
        <f>IF($A$56="","",H57-H58)</f>
        <v/>
      </c>
      <c r="I60" s="68" t="str">
        <f>IF($A$56="","",I57-I58)</f>
        <v/>
      </c>
      <c r="J60" s="68" t="str">
        <f>IF($A$56="","",J57-J58)</f>
        <v/>
      </c>
    </row>
    <row r="61" spans="1:10" x14ac:dyDescent="0.2">
      <c r="A61" s="69"/>
      <c r="B61" s="70" t="s">
        <v>1</v>
      </c>
      <c r="C61" s="71" t="str">
        <f>IF($A$56="","",IF(C57=0,IF(C58&gt;0,"Overloaded","On leave / holiday"),IF(C59&gt;Settings!$J$20,"Overloaded",IF(C59&lt;Settings!$J$21,"Under-utilised","Balanced"))))</f>
        <v/>
      </c>
      <c r="D61" s="71" t="str">
        <f>IF($A$56="","",IF(D57=0,IF(D58&gt;0,"Overloaded","On leave / holiday"),IF(D59&gt;Settings!$J$20,"Overloaded",IF(D59&lt;Settings!$J$21,"Under-utilised","Balanced"))))</f>
        <v/>
      </c>
      <c r="E61" s="71" t="str">
        <f>IF($A$56="","",IF(E57=0,IF(E58&gt;0,"Overloaded","On leave / holiday"),IF(E59&gt;Settings!$J$20,"Overloaded",IF(E59&lt;Settings!$J$21,"Under-utilised","Balanced"))))</f>
        <v/>
      </c>
      <c r="F61" s="71" t="str">
        <f>IF($A$56="","",IF(F57=0,IF(F58&gt;0,"Overloaded","On leave / holiday"),IF(F59&gt;Settings!$J$20,"Overloaded",IF(F59&lt;Settings!$J$21,"Under-utilised","Balanced"))))</f>
        <v/>
      </c>
      <c r="G61" s="71" t="str">
        <f>IF($A$56="","",IF(G57=0,IF(G58&gt;0,"Overloaded","On leave / holiday"),IF(G59&gt;Settings!$J$20,"Overloaded",IF(G59&lt;Settings!$J$21,"Under-utilised","Balanced"))))</f>
        <v/>
      </c>
      <c r="H61" s="71" t="str">
        <f>IF($A$56="","",IF(H57=0,IF(H58&gt;0,"Overloaded","On leave / holiday"),IF(H59&gt;Settings!$J$20,"Overloaded",IF(H59&lt;Settings!$J$21,"Under-utilised","Balanced"))))</f>
        <v/>
      </c>
      <c r="I61" s="71" t="str">
        <f>IF($A$56="","",IF(I57=0,IF(I58&gt;0,"Overloaded","On leave / holiday"),IF(I59&gt;Settings!$J$20,"Overloaded",IF(I59&lt;Settings!$J$21,"Under-utilised","Balanced"))))</f>
        <v/>
      </c>
      <c r="J61" s="71" t="str">
        <f>IF($A$56="","",IF(J57=0,IF(J58&gt;0,"Overloaded","On leave / holiday"),IF(J59&gt;Settings!$J$20,"Overloaded",IF(J59&lt;Settings!$J$21,"Under-utilised","Balanced"))))</f>
        <v/>
      </c>
    </row>
    <row r="62" spans="1:10" x14ac:dyDescent="0.2">
      <c r="A62" s="35" t="str">
        <f>IF(Settings!A9="","",Settings!A9)</f>
        <v/>
      </c>
      <c r="B62" s="67" t="s">
        <v>105</v>
      </c>
      <c r="C62" s="7" t="str" cm="1">
        <f t="array" ref="C62">IF($A$62="","",SUMPRODUCT((COUNTIFS(tblLeave[Designer],$A$62,tblLeave[From],"&lt;="&amp;(C$36+{0,1,2,3,4,5}),tblLeave[To],"&gt;="&amp;(C$36+{0,1,2,3,4,5}))&gt;0)*(COUNTIF(tblHolidays[Holiday Date],C$36+{0,1,2,3,4,5})=0)*(WEEKDAY(C$36+{0,1,2,3,4,5},2)&lt;=Settings!$J$17)))</f>
        <v/>
      </c>
      <c r="D62" s="7" t="str" cm="1">
        <f t="array" ref="D62">IF($A$62="","",SUMPRODUCT((COUNTIFS(tblLeave[Designer],$A$62,tblLeave[From],"&lt;="&amp;(D$36+{0,1,2,3,4,5}),tblLeave[To],"&gt;="&amp;(D$36+{0,1,2,3,4,5}))&gt;0)*(COUNTIF(tblHolidays[Holiday Date],D$36+{0,1,2,3,4,5})=0)*(WEEKDAY(D$36+{0,1,2,3,4,5},2)&lt;=Settings!$J$17)))</f>
        <v/>
      </c>
      <c r="E62" s="7" t="str" cm="1">
        <f t="array" ref="E62">IF($A$62="","",SUMPRODUCT((COUNTIFS(tblLeave[Designer],$A$62,tblLeave[From],"&lt;="&amp;(E$36+{0,1,2,3,4,5}),tblLeave[To],"&gt;="&amp;(E$36+{0,1,2,3,4,5}))&gt;0)*(COUNTIF(tblHolidays[Holiday Date],E$36+{0,1,2,3,4,5})=0)*(WEEKDAY(E$36+{0,1,2,3,4,5},2)&lt;=Settings!$J$17)))</f>
        <v/>
      </c>
      <c r="F62" s="7" t="str" cm="1">
        <f t="array" ref="F62">IF($A$62="","",SUMPRODUCT((COUNTIFS(tblLeave[Designer],$A$62,tblLeave[From],"&lt;="&amp;(F$36+{0,1,2,3,4,5}),tblLeave[To],"&gt;="&amp;(F$36+{0,1,2,3,4,5}))&gt;0)*(COUNTIF(tblHolidays[Holiday Date],F$36+{0,1,2,3,4,5})=0)*(WEEKDAY(F$36+{0,1,2,3,4,5},2)&lt;=Settings!$J$17)))</f>
        <v/>
      </c>
      <c r="G62" s="7" t="str" cm="1">
        <f t="array" ref="G62">IF($A$62="","",SUMPRODUCT((COUNTIFS(tblLeave[Designer],$A$62,tblLeave[From],"&lt;="&amp;(G$36+{0,1,2,3,4,5}),tblLeave[To],"&gt;="&amp;(G$36+{0,1,2,3,4,5}))&gt;0)*(COUNTIF(tblHolidays[Holiday Date],G$36+{0,1,2,3,4,5})=0)*(WEEKDAY(G$36+{0,1,2,3,4,5},2)&lt;=Settings!$J$17)))</f>
        <v/>
      </c>
      <c r="H62" s="7" t="str" cm="1">
        <f t="array" ref="H62">IF($A$62="","",SUMPRODUCT((COUNTIFS(tblLeave[Designer],$A$62,tblLeave[From],"&lt;="&amp;(H$36+{0,1,2,3,4,5}),tblLeave[To],"&gt;="&amp;(H$36+{0,1,2,3,4,5}))&gt;0)*(COUNTIF(tblHolidays[Holiday Date],H$36+{0,1,2,3,4,5})=0)*(WEEKDAY(H$36+{0,1,2,3,4,5},2)&lt;=Settings!$J$17)))</f>
        <v/>
      </c>
      <c r="I62" s="7" t="str" cm="1">
        <f t="array" ref="I62">IF($A$62="","",SUMPRODUCT((COUNTIFS(tblLeave[Designer],$A$62,tblLeave[From],"&lt;="&amp;(I$36+{0,1,2,3,4,5}),tblLeave[To],"&gt;="&amp;(I$36+{0,1,2,3,4,5}))&gt;0)*(COUNTIF(tblHolidays[Holiday Date],I$36+{0,1,2,3,4,5})=0)*(WEEKDAY(I$36+{0,1,2,3,4,5},2)&lt;=Settings!$J$17)))</f>
        <v/>
      </c>
      <c r="J62" s="7" t="str" cm="1">
        <f t="array" ref="J62">IF($A$62="","",SUMPRODUCT((COUNTIFS(tblLeave[Designer],$A$62,tblLeave[From],"&lt;="&amp;(J$36+{0,1,2,3,4,5}),tblLeave[To],"&gt;="&amp;(J$36+{0,1,2,3,4,5}))&gt;0)*(COUNTIF(tblHolidays[Holiday Date],J$36+{0,1,2,3,4,5})=0)*(WEEKDAY(J$36+{0,1,2,3,4,5},2)&lt;=Settings!$J$17)))</f>
        <v/>
      </c>
    </row>
    <row r="63" spans="1:10" x14ac:dyDescent="0.2">
      <c r="B63" s="67" t="s">
        <v>106</v>
      </c>
      <c r="C63" s="17" t="str">
        <f>IF($A$62="","",MAX(0,Settings!$J$17-C$37-C62)*Settings!$J$18)</f>
        <v/>
      </c>
      <c r="D63" s="17" t="str">
        <f>IF($A$62="","",MAX(0,Settings!$J$17-D$37-D62)*Settings!$J$18)</f>
        <v/>
      </c>
      <c r="E63" s="17" t="str">
        <f>IF($A$62="","",MAX(0,Settings!$J$17-E$37-E62)*Settings!$J$18)</f>
        <v/>
      </c>
      <c r="F63" s="17" t="str">
        <f>IF($A$62="","",MAX(0,Settings!$J$17-F$37-F62)*Settings!$J$18)</f>
        <v/>
      </c>
      <c r="G63" s="17" t="str">
        <f>IF($A$62="","",MAX(0,Settings!$J$17-G$37-G62)*Settings!$J$18)</f>
        <v/>
      </c>
      <c r="H63" s="17" t="str">
        <f>IF($A$62="","",MAX(0,Settings!$J$17-H$37-H62)*Settings!$J$18)</f>
        <v/>
      </c>
      <c r="I63" s="17" t="str">
        <f>IF($A$62="","",MAX(0,Settings!$J$17-I$37-I62)*Settings!$J$18)</f>
        <v/>
      </c>
      <c r="J63" s="17" t="str">
        <f>IF($A$62="","",MAX(0,Settings!$J$17-J$37-J62)*Settings!$J$18)</f>
        <v/>
      </c>
    </row>
    <row r="64" spans="1:10" x14ac:dyDescent="0.2">
      <c r="B64" s="67" t="s">
        <v>107</v>
      </c>
      <c r="C64" s="17" t="str" cm="1">
        <f t="array" ref="C64">IF($A$62="","",SUMPRODUCT(SUMIFS(tblTasks[Hours per Working Day],tblTasks[Designer],$A$62,tblTasks[Start Date],"&lt;="&amp;(C$36+{0,1,2,3,4,5}),tblTasks[Target End Date],"&gt;="&amp;(C$36+{0,1,2,3,4,5}))*(COUNTIF(tblHolidays[Holiday Date],C$36+{0,1,2,3,4,5})=0)*(WEEKDAY(C$36+{0,1,2,3,4,5},2)&lt;=Settings!$J$17)))</f>
        <v/>
      </c>
      <c r="D64" s="17" t="str" cm="1">
        <f t="array" ref="D64">IF($A$62="","",SUMPRODUCT(SUMIFS(tblTasks[Hours per Working Day],tblTasks[Designer],$A$62,tblTasks[Start Date],"&lt;="&amp;(D$36+{0,1,2,3,4,5}),tblTasks[Target End Date],"&gt;="&amp;(D$36+{0,1,2,3,4,5}))*(COUNTIF(tblHolidays[Holiday Date],D$36+{0,1,2,3,4,5})=0)*(WEEKDAY(D$36+{0,1,2,3,4,5},2)&lt;=Settings!$J$17)))</f>
        <v/>
      </c>
      <c r="E64" s="17" t="str" cm="1">
        <f t="array" ref="E64">IF($A$62="","",SUMPRODUCT(SUMIFS(tblTasks[Hours per Working Day],tblTasks[Designer],$A$62,tblTasks[Start Date],"&lt;="&amp;(E$36+{0,1,2,3,4,5}),tblTasks[Target End Date],"&gt;="&amp;(E$36+{0,1,2,3,4,5}))*(COUNTIF(tblHolidays[Holiday Date],E$36+{0,1,2,3,4,5})=0)*(WEEKDAY(E$36+{0,1,2,3,4,5},2)&lt;=Settings!$J$17)))</f>
        <v/>
      </c>
      <c r="F64" s="17" t="str" cm="1">
        <f t="array" ref="F64">IF($A$62="","",SUMPRODUCT(SUMIFS(tblTasks[Hours per Working Day],tblTasks[Designer],$A$62,tblTasks[Start Date],"&lt;="&amp;(F$36+{0,1,2,3,4,5}),tblTasks[Target End Date],"&gt;="&amp;(F$36+{0,1,2,3,4,5}))*(COUNTIF(tblHolidays[Holiday Date],F$36+{0,1,2,3,4,5})=0)*(WEEKDAY(F$36+{0,1,2,3,4,5},2)&lt;=Settings!$J$17)))</f>
        <v/>
      </c>
      <c r="G64" s="17" t="str" cm="1">
        <f t="array" ref="G64">IF($A$62="","",SUMPRODUCT(SUMIFS(tblTasks[Hours per Working Day],tblTasks[Designer],$A$62,tblTasks[Start Date],"&lt;="&amp;(G$36+{0,1,2,3,4,5}),tblTasks[Target End Date],"&gt;="&amp;(G$36+{0,1,2,3,4,5}))*(COUNTIF(tblHolidays[Holiday Date],G$36+{0,1,2,3,4,5})=0)*(WEEKDAY(G$36+{0,1,2,3,4,5},2)&lt;=Settings!$J$17)))</f>
        <v/>
      </c>
      <c r="H64" s="17" t="str" cm="1">
        <f t="array" ref="H64">IF($A$62="","",SUMPRODUCT(SUMIFS(tblTasks[Hours per Working Day],tblTasks[Designer],$A$62,tblTasks[Start Date],"&lt;="&amp;(H$36+{0,1,2,3,4,5}),tblTasks[Target End Date],"&gt;="&amp;(H$36+{0,1,2,3,4,5}))*(COUNTIF(tblHolidays[Holiday Date],H$36+{0,1,2,3,4,5})=0)*(WEEKDAY(H$36+{0,1,2,3,4,5},2)&lt;=Settings!$J$17)))</f>
        <v/>
      </c>
      <c r="I64" s="17" t="str" cm="1">
        <f t="array" ref="I64">IF($A$62="","",SUMPRODUCT(SUMIFS(tblTasks[Hours per Working Day],tblTasks[Designer],$A$62,tblTasks[Start Date],"&lt;="&amp;(I$36+{0,1,2,3,4,5}),tblTasks[Target End Date],"&gt;="&amp;(I$36+{0,1,2,3,4,5}))*(COUNTIF(tblHolidays[Holiday Date],I$36+{0,1,2,3,4,5})=0)*(WEEKDAY(I$36+{0,1,2,3,4,5},2)&lt;=Settings!$J$17)))</f>
        <v/>
      </c>
      <c r="J64" s="17" t="str" cm="1">
        <f t="array" ref="J64">IF($A$62="","",SUMPRODUCT(SUMIFS(tblTasks[Hours per Working Day],tblTasks[Designer],$A$62,tblTasks[Start Date],"&lt;="&amp;(J$36+{0,1,2,3,4,5}),tblTasks[Target End Date],"&gt;="&amp;(J$36+{0,1,2,3,4,5}))*(COUNTIF(tblHolidays[Holiday Date],J$36+{0,1,2,3,4,5})=0)*(WEEKDAY(J$36+{0,1,2,3,4,5},2)&lt;=Settings!$J$17)))</f>
        <v/>
      </c>
    </row>
    <row r="65" spans="1:10" x14ac:dyDescent="0.2">
      <c r="B65" s="67" t="s">
        <v>108</v>
      </c>
      <c r="C65" s="18" t="str">
        <f>IF($A$62="","",IF(C63=0,IF(C64&gt;0,"No capacity","-"),C64/C63))</f>
        <v/>
      </c>
      <c r="D65" s="18" t="str">
        <f>IF($A$62="","",IF(D63=0,IF(D64&gt;0,"No capacity","-"),D64/D63))</f>
        <v/>
      </c>
      <c r="E65" s="18" t="str">
        <f>IF($A$62="","",IF(E63=0,IF(E64&gt;0,"No capacity","-"),E64/E63))</f>
        <v/>
      </c>
      <c r="F65" s="18" t="str">
        <f>IF($A$62="","",IF(F63=0,IF(F64&gt;0,"No capacity","-"),F64/F63))</f>
        <v/>
      </c>
      <c r="G65" s="18" t="str">
        <f>IF($A$62="","",IF(G63=0,IF(G64&gt;0,"No capacity","-"),G64/G63))</f>
        <v/>
      </c>
      <c r="H65" s="18" t="str">
        <f>IF($A$62="","",IF(H63=0,IF(H64&gt;0,"No capacity","-"),H64/H63))</f>
        <v/>
      </c>
      <c r="I65" s="18" t="str">
        <f>IF($A$62="","",IF(I63=0,IF(I64&gt;0,"No capacity","-"),I64/I63))</f>
        <v/>
      </c>
      <c r="J65" s="18" t="str">
        <f>IF($A$62="","",IF(J63=0,IF(J64&gt;0,"No capacity","-"),J64/J63))</f>
        <v/>
      </c>
    </row>
    <row r="66" spans="1:10" x14ac:dyDescent="0.2">
      <c r="B66" s="67" t="s">
        <v>109</v>
      </c>
      <c r="C66" s="68" t="str">
        <f>IF($A$62="","",C63-C64)</f>
        <v/>
      </c>
      <c r="D66" s="68" t="str">
        <f>IF($A$62="","",D63-D64)</f>
        <v/>
      </c>
      <c r="E66" s="68" t="str">
        <f>IF($A$62="","",E63-E64)</f>
        <v/>
      </c>
      <c r="F66" s="68" t="str">
        <f>IF($A$62="","",F63-F64)</f>
        <v/>
      </c>
      <c r="G66" s="68" t="str">
        <f>IF($A$62="","",G63-G64)</f>
        <v/>
      </c>
      <c r="H66" s="68" t="str">
        <f>IF($A$62="","",H63-H64)</f>
        <v/>
      </c>
      <c r="I66" s="68" t="str">
        <f>IF($A$62="","",I63-I64)</f>
        <v/>
      </c>
      <c r="J66" s="68" t="str">
        <f>IF($A$62="","",J63-J64)</f>
        <v/>
      </c>
    </row>
    <row r="67" spans="1:10" x14ac:dyDescent="0.2">
      <c r="A67" s="69"/>
      <c r="B67" s="70" t="s">
        <v>1</v>
      </c>
      <c r="C67" s="71" t="str">
        <f>IF($A$62="","",IF(C63=0,IF(C64&gt;0,"Overloaded","On leave / holiday"),IF(C65&gt;Settings!$J$20,"Overloaded",IF(C65&lt;Settings!$J$21,"Under-utilised","Balanced"))))</f>
        <v/>
      </c>
      <c r="D67" s="71" t="str">
        <f>IF($A$62="","",IF(D63=0,IF(D64&gt;0,"Overloaded","On leave / holiday"),IF(D65&gt;Settings!$J$20,"Overloaded",IF(D65&lt;Settings!$J$21,"Under-utilised","Balanced"))))</f>
        <v/>
      </c>
      <c r="E67" s="71" t="str">
        <f>IF($A$62="","",IF(E63=0,IF(E64&gt;0,"Overloaded","On leave / holiday"),IF(E65&gt;Settings!$J$20,"Overloaded",IF(E65&lt;Settings!$J$21,"Under-utilised","Balanced"))))</f>
        <v/>
      </c>
      <c r="F67" s="71" t="str">
        <f>IF($A$62="","",IF(F63=0,IF(F64&gt;0,"Overloaded","On leave / holiday"),IF(F65&gt;Settings!$J$20,"Overloaded",IF(F65&lt;Settings!$J$21,"Under-utilised","Balanced"))))</f>
        <v/>
      </c>
      <c r="G67" s="71" t="str">
        <f>IF($A$62="","",IF(G63=0,IF(G64&gt;0,"Overloaded","On leave / holiday"),IF(G65&gt;Settings!$J$20,"Overloaded",IF(G65&lt;Settings!$J$21,"Under-utilised","Balanced"))))</f>
        <v/>
      </c>
      <c r="H67" s="71" t="str">
        <f>IF($A$62="","",IF(H63=0,IF(H64&gt;0,"Overloaded","On leave / holiday"),IF(H65&gt;Settings!$J$20,"Overloaded",IF(H65&lt;Settings!$J$21,"Under-utilised","Balanced"))))</f>
        <v/>
      </c>
      <c r="I67" s="71" t="str">
        <f>IF($A$62="","",IF(I63=0,IF(I64&gt;0,"Overloaded","On leave / holiday"),IF(I65&gt;Settings!$J$20,"Overloaded",IF(I65&lt;Settings!$J$21,"Under-utilised","Balanced"))))</f>
        <v/>
      </c>
      <c r="J67" s="71" t="str">
        <f>IF($A$62="","",IF(J63=0,IF(J64&gt;0,"Overloaded","On leave / holiday"),IF(J65&gt;Settings!$J$20,"Overloaded",IF(J65&lt;Settings!$J$21,"Under-utilised","Balanced"))))</f>
        <v/>
      </c>
    </row>
  </sheetData>
  <conditionalFormatting sqref="J12:J16">
    <cfRule type="containsText" dxfId="37" priority="1" operator="containsText" text="Excellent">
      <formula>NOT(ISERROR(SEARCH("Excellent",J12)))</formula>
    </cfRule>
  </conditionalFormatting>
  <conditionalFormatting sqref="J12:J16">
    <cfRule type="containsText" dxfId="36" priority="2" operator="containsText" text="Good">
      <formula>NOT(ISERROR(SEARCH("Good",J12)))</formula>
    </cfRule>
  </conditionalFormatting>
  <conditionalFormatting sqref="J12:J16">
    <cfRule type="containsText" dxfId="35" priority="3" operator="containsText" text="Needs Improvement">
      <formula>NOT(ISERROR(SEARCH("Needs Improvement",J12)))</formula>
    </cfRule>
  </conditionalFormatting>
  <conditionalFormatting sqref="J12:J16">
    <cfRule type="containsText" dxfId="34" priority="4" operator="containsText" text="At Risk">
      <formula>NOT(ISERROR(SEARCH("At Risk",J12)))</formula>
    </cfRule>
  </conditionalFormatting>
  <conditionalFormatting sqref="F12:I16">
    <cfRule type="colorScale" priority="5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conditionalFormatting sqref="D8:E8">
    <cfRule type="expression" dxfId="33" priority="6">
      <formula>D8&gt;0</formula>
    </cfRule>
  </conditionalFormatting>
  <conditionalFormatting sqref="D20:E24">
    <cfRule type="expression" dxfId="32" priority="7">
      <formula>AND(ISNUMBER(D20),D20&gt;0)</formula>
    </cfRule>
  </conditionalFormatting>
  <conditionalFormatting sqref="C43:J43">
    <cfRule type="containsText" dxfId="29" priority="8" operator="containsText" text="Overloaded">
      <formula>NOT(ISERROR(SEARCH("Overloaded",C43)))</formula>
    </cfRule>
  </conditionalFormatting>
  <conditionalFormatting sqref="C43:J43">
    <cfRule type="containsText" dxfId="28" priority="9" operator="containsText" text="Under-utilised">
      <formula>NOT(ISERROR(SEARCH("Under-utilised",C43)))</formula>
    </cfRule>
  </conditionalFormatting>
  <conditionalFormatting sqref="C43:J43">
    <cfRule type="containsText" dxfId="27" priority="10" operator="containsText" text="Balanced">
      <formula>NOT(ISERROR(SEARCH("Balanced",C43)))</formula>
    </cfRule>
  </conditionalFormatting>
  <conditionalFormatting sqref="C43:J43">
    <cfRule type="containsText" dxfId="26" priority="11" operator="containsText" text="On leave">
      <formula>NOT(ISERROR(SEARCH("On leave",C43)))</formula>
    </cfRule>
  </conditionalFormatting>
  <conditionalFormatting sqref="C42:J42">
    <cfRule type="expression" dxfId="25" priority="12">
      <formula>AND(ISNUMBER(C42),C42&lt;0)</formula>
    </cfRule>
  </conditionalFormatting>
  <conditionalFormatting sqref="C38:J38">
    <cfRule type="expression" dxfId="24" priority="13">
      <formula>AND(ISNUMBER(C38),C38&gt;0)</formula>
    </cfRule>
  </conditionalFormatting>
  <conditionalFormatting sqref="C49:J49">
    <cfRule type="containsText" dxfId="23" priority="14" operator="containsText" text="Overloaded">
      <formula>NOT(ISERROR(SEARCH("Overloaded",C49)))</formula>
    </cfRule>
  </conditionalFormatting>
  <conditionalFormatting sqref="C49:J49">
    <cfRule type="containsText" dxfId="22" priority="15" operator="containsText" text="Under-utilised">
      <formula>NOT(ISERROR(SEARCH("Under-utilised",C49)))</formula>
    </cfRule>
  </conditionalFormatting>
  <conditionalFormatting sqref="C49:J49">
    <cfRule type="containsText" dxfId="21" priority="16" operator="containsText" text="Balanced">
      <formula>NOT(ISERROR(SEARCH("Balanced",C49)))</formula>
    </cfRule>
  </conditionalFormatting>
  <conditionalFormatting sqref="C49:J49">
    <cfRule type="containsText" dxfId="20" priority="17" operator="containsText" text="On leave">
      <formula>NOT(ISERROR(SEARCH("On leave",C49)))</formula>
    </cfRule>
  </conditionalFormatting>
  <conditionalFormatting sqref="C48:J48">
    <cfRule type="expression" dxfId="19" priority="18">
      <formula>AND(ISNUMBER(C48),C48&lt;0)</formula>
    </cfRule>
  </conditionalFormatting>
  <conditionalFormatting sqref="C44:J44">
    <cfRule type="expression" dxfId="18" priority="19">
      <formula>AND(ISNUMBER(C44),C44&gt;0)</formula>
    </cfRule>
  </conditionalFormatting>
  <conditionalFormatting sqref="C55:J55">
    <cfRule type="containsText" dxfId="17" priority="20" operator="containsText" text="Overloaded">
      <formula>NOT(ISERROR(SEARCH("Overloaded",C55)))</formula>
    </cfRule>
  </conditionalFormatting>
  <conditionalFormatting sqref="C55:J55">
    <cfRule type="containsText" dxfId="16" priority="21" operator="containsText" text="Under-utilised">
      <formula>NOT(ISERROR(SEARCH("Under-utilised",C55)))</formula>
    </cfRule>
  </conditionalFormatting>
  <conditionalFormatting sqref="C55:J55">
    <cfRule type="containsText" dxfId="15" priority="22" operator="containsText" text="Balanced">
      <formula>NOT(ISERROR(SEARCH("Balanced",C55)))</formula>
    </cfRule>
  </conditionalFormatting>
  <conditionalFormatting sqref="C55:J55">
    <cfRule type="containsText" dxfId="14" priority="23" operator="containsText" text="On leave">
      <formula>NOT(ISERROR(SEARCH("On leave",C55)))</formula>
    </cfRule>
  </conditionalFormatting>
  <conditionalFormatting sqref="C54:J54">
    <cfRule type="expression" dxfId="13" priority="24">
      <formula>AND(ISNUMBER(C54),C54&lt;0)</formula>
    </cfRule>
  </conditionalFormatting>
  <conditionalFormatting sqref="C50:J50">
    <cfRule type="expression" dxfId="12" priority="25">
      <formula>AND(ISNUMBER(C50),C50&gt;0)</formula>
    </cfRule>
  </conditionalFormatting>
  <conditionalFormatting sqref="C61:J61">
    <cfRule type="containsText" dxfId="11" priority="26" operator="containsText" text="Overloaded">
      <formula>NOT(ISERROR(SEARCH("Overloaded",C61)))</formula>
    </cfRule>
  </conditionalFormatting>
  <conditionalFormatting sqref="C61:J61">
    <cfRule type="containsText" dxfId="10" priority="27" operator="containsText" text="Under-utilised">
      <formula>NOT(ISERROR(SEARCH("Under-utilised",C61)))</formula>
    </cfRule>
  </conditionalFormatting>
  <conditionalFormatting sqref="C61:J61">
    <cfRule type="containsText" dxfId="9" priority="28" operator="containsText" text="Balanced">
      <formula>NOT(ISERROR(SEARCH("Balanced",C61)))</formula>
    </cfRule>
  </conditionalFormatting>
  <conditionalFormatting sqref="C61:J61">
    <cfRule type="containsText" dxfId="8" priority="29" operator="containsText" text="On leave">
      <formula>NOT(ISERROR(SEARCH("On leave",C61)))</formula>
    </cfRule>
  </conditionalFormatting>
  <conditionalFormatting sqref="C60:J60">
    <cfRule type="expression" dxfId="7" priority="30">
      <formula>AND(ISNUMBER(C60),C60&lt;0)</formula>
    </cfRule>
  </conditionalFormatting>
  <conditionalFormatting sqref="C56:J56">
    <cfRule type="expression" dxfId="6" priority="31">
      <formula>AND(ISNUMBER(C56),C56&gt;0)</formula>
    </cfRule>
  </conditionalFormatting>
  <conditionalFormatting sqref="C67:J67">
    <cfRule type="containsText" dxfId="5" priority="32" operator="containsText" text="Overloaded">
      <formula>NOT(ISERROR(SEARCH("Overloaded",C67)))</formula>
    </cfRule>
  </conditionalFormatting>
  <conditionalFormatting sqref="C67:J67">
    <cfRule type="containsText" dxfId="4" priority="33" operator="containsText" text="Under-utilised">
      <formula>NOT(ISERROR(SEARCH("Under-utilised",C67)))</formula>
    </cfRule>
  </conditionalFormatting>
  <conditionalFormatting sqref="C67:J67">
    <cfRule type="containsText" dxfId="3" priority="34" operator="containsText" text="Balanced">
      <formula>NOT(ISERROR(SEARCH("Balanced",C67)))</formula>
    </cfRule>
  </conditionalFormatting>
  <conditionalFormatting sqref="C67:J67">
    <cfRule type="containsText" dxfId="2" priority="35" operator="containsText" text="On leave">
      <formula>NOT(ISERROR(SEARCH("On leave",C67)))</formula>
    </cfRule>
  </conditionalFormatting>
  <conditionalFormatting sqref="C66:J66">
    <cfRule type="expression" dxfId="1" priority="36">
      <formula>AND(ISNUMBER(C66),C66&lt;0)</formula>
    </cfRule>
  </conditionalFormatting>
  <conditionalFormatting sqref="C62:J62">
    <cfRule type="expression" dxfId="0" priority="37">
      <formula>AND(ISNUMBER(C62),C62&gt;0)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A3A5B-13C4-5547-A03B-7924845DBCD8}">
  <dimension ref="A1:K34"/>
  <sheetViews>
    <sheetView showGridLines="0" workbookViewId="0"/>
  </sheetViews>
  <sheetFormatPr baseColWidth="10" defaultRowHeight="16" x14ac:dyDescent="0.2"/>
  <cols>
    <col min="1" max="4" width="18.33203125" customWidth="1"/>
    <col min="5" max="5" width="3.33203125" customWidth="1"/>
    <col min="6" max="7" width="21.6640625" customWidth="1"/>
    <col min="8" max="8" width="3.33203125" customWidth="1"/>
    <col min="9" max="9" width="48.33203125" customWidth="1"/>
    <col min="10" max="10" width="11.6640625" customWidth="1"/>
  </cols>
  <sheetData>
    <row r="1" spans="1:11" ht="22" x14ac:dyDescent="0.3">
      <c r="A1" s="4" t="s">
        <v>30</v>
      </c>
    </row>
    <row r="2" spans="1:11" x14ac:dyDescent="0.2">
      <c r="A2" s="3" t="s">
        <v>31</v>
      </c>
    </row>
    <row r="4" spans="1:11" x14ac:dyDescent="0.2">
      <c r="A4" s="1" t="s">
        <v>0</v>
      </c>
      <c r="B4" s="1" t="s">
        <v>32</v>
      </c>
      <c r="C4" s="1" t="s">
        <v>1</v>
      </c>
      <c r="D4" s="1" t="s">
        <v>2</v>
      </c>
      <c r="F4" s="1" t="s">
        <v>15</v>
      </c>
      <c r="G4" s="1" t="s">
        <v>40</v>
      </c>
      <c r="I4" s="1" t="s">
        <v>46</v>
      </c>
      <c r="J4" s="1" t="s">
        <v>47</v>
      </c>
    </row>
    <row r="5" spans="1:11" x14ac:dyDescent="0.2">
      <c r="A5" s="2" t="s">
        <v>33</v>
      </c>
      <c r="B5" s="2" t="s">
        <v>35</v>
      </c>
      <c r="C5" s="2" t="s">
        <v>3</v>
      </c>
      <c r="D5" s="2" t="s">
        <v>8</v>
      </c>
      <c r="F5" s="2" t="s">
        <v>41</v>
      </c>
      <c r="G5" s="2" t="s">
        <v>35</v>
      </c>
      <c r="I5" t="s">
        <v>48</v>
      </c>
      <c r="J5" s="28">
        <v>0.4</v>
      </c>
    </row>
    <row r="6" spans="1:11" x14ac:dyDescent="0.2">
      <c r="A6" s="2" t="s">
        <v>34</v>
      </c>
      <c r="B6" s="2" t="s">
        <v>36</v>
      </c>
      <c r="C6" s="2" t="s">
        <v>4</v>
      </c>
      <c r="D6" s="2" t="s">
        <v>9</v>
      </c>
      <c r="F6" s="2" t="s">
        <v>42</v>
      </c>
      <c r="G6" s="2" t="s">
        <v>36</v>
      </c>
      <c r="I6" t="s">
        <v>49</v>
      </c>
      <c r="J6" s="28">
        <v>0.4</v>
      </c>
    </row>
    <row r="7" spans="1:11" x14ac:dyDescent="0.2">
      <c r="A7" s="2"/>
      <c r="B7" s="2" t="s">
        <v>37</v>
      </c>
      <c r="C7" s="2" t="s">
        <v>5</v>
      </c>
      <c r="D7" s="2" t="s">
        <v>10</v>
      </c>
      <c r="F7" s="2" t="s">
        <v>43</v>
      </c>
      <c r="G7" s="2" t="s">
        <v>37</v>
      </c>
      <c r="I7" t="s">
        <v>50</v>
      </c>
      <c r="J7" s="28">
        <v>0.2</v>
      </c>
    </row>
    <row r="8" spans="1:11" x14ac:dyDescent="0.2">
      <c r="A8" s="2"/>
      <c r="B8" s="2" t="s">
        <v>38</v>
      </c>
      <c r="C8" s="2" t="s">
        <v>6</v>
      </c>
      <c r="D8" s="2"/>
      <c r="F8" s="2" t="s">
        <v>44</v>
      </c>
      <c r="G8" s="2" t="s">
        <v>38</v>
      </c>
      <c r="I8" t="s">
        <v>51</v>
      </c>
      <c r="J8" s="18">
        <f>SUM(J5:J7)</f>
        <v>1</v>
      </c>
      <c r="K8" t="str">
        <f>IF(ROUND(J8,4)=1,"OK","Fix weights")</f>
        <v>OK</v>
      </c>
    </row>
    <row r="9" spans="1:11" x14ac:dyDescent="0.2">
      <c r="A9" s="2"/>
      <c r="B9" s="2" t="s">
        <v>39</v>
      </c>
      <c r="C9" s="2" t="s">
        <v>7</v>
      </c>
      <c r="D9" s="2"/>
      <c r="F9" s="2" t="s">
        <v>45</v>
      </c>
      <c r="G9" s="2" t="s">
        <v>39</v>
      </c>
      <c r="I9" t="s">
        <v>52</v>
      </c>
      <c r="J9" s="29">
        <v>4</v>
      </c>
    </row>
    <row r="10" spans="1:11" x14ac:dyDescent="0.2">
      <c r="A10" s="2"/>
      <c r="B10" s="2"/>
      <c r="C10" s="2"/>
      <c r="D10" s="2"/>
      <c r="F10" s="2"/>
      <c r="G10" s="2"/>
      <c r="I10" t="s">
        <v>53</v>
      </c>
      <c r="J10" s="29">
        <v>85</v>
      </c>
    </row>
    <row r="11" spans="1:11" x14ac:dyDescent="0.2">
      <c r="A11" s="2"/>
      <c r="B11" s="2"/>
      <c r="C11" s="2"/>
      <c r="D11" s="2"/>
      <c r="F11" s="2"/>
      <c r="G11" s="2"/>
      <c r="I11" t="s">
        <v>54</v>
      </c>
      <c r="J11" s="29">
        <v>70</v>
      </c>
    </row>
    <row r="12" spans="1:11" x14ac:dyDescent="0.2">
      <c r="A12" s="2"/>
      <c r="B12" s="2"/>
      <c r="C12" s="2"/>
      <c r="D12" s="2"/>
      <c r="F12" s="2"/>
      <c r="G12" s="2"/>
      <c r="I12" t="s">
        <v>55</v>
      </c>
      <c r="J12" s="29">
        <v>50</v>
      </c>
    </row>
    <row r="13" spans="1:11" x14ac:dyDescent="0.2">
      <c r="A13" s="2"/>
      <c r="B13" s="2"/>
      <c r="C13" s="2"/>
      <c r="D13" s="2"/>
      <c r="F13" s="2"/>
      <c r="G13" s="2"/>
      <c r="I13" s="3" t="s">
        <v>56</v>
      </c>
    </row>
    <row r="14" spans="1:11" x14ac:dyDescent="0.2">
      <c r="A14" s="2"/>
      <c r="B14" s="2"/>
      <c r="C14" s="2"/>
      <c r="D14" s="2"/>
      <c r="F14" s="2"/>
      <c r="G14" s="2"/>
    </row>
    <row r="15" spans="1:11" x14ac:dyDescent="0.2">
      <c r="A15" s="2"/>
      <c r="B15" s="2"/>
      <c r="C15" s="2"/>
      <c r="D15" s="2"/>
      <c r="F15" s="2"/>
      <c r="G15" s="2"/>
      <c r="I15" s="1" t="s">
        <v>82</v>
      </c>
      <c r="J15" s="58" t="s">
        <v>47</v>
      </c>
    </row>
    <row r="16" spans="1:11" x14ac:dyDescent="0.2">
      <c r="A16" s="2"/>
      <c r="B16" s="2"/>
      <c r="C16" s="2"/>
      <c r="D16" s="2"/>
      <c r="F16" s="2"/>
      <c r="G16" s="2"/>
      <c r="I16" t="s">
        <v>83</v>
      </c>
      <c r="J16" s="29">
        <v>48</v>
      </c>
    </row>
    <row r="17" spans="1:10" x14ac:dyDescent="0.2">
      <c r="A17" s="2"/>
      <c r="B17" s="2"/>
      <c r="C17" s="2"/>
      <c r="D17" s="2"/>
      <c r="F17" s="2"/>
      <c r="G17" s="2"/>
      <c r="I17" t="s">
        <v>84</v>
      </c>
      <c r="J17" s="29">
        <v>5</v>
      </c>
    </row>
    <row r="18" spans="1:10" x14ac:dyDescent="0.2">
      <c r="A18" s="2"/>
      <c r="B18" s="2"/>
      <c r="C18" s="2"/>
      <c r="D18" s="2"/>
      <c r="F18" s="2"/>
      <c r="G18" s="2"/>
      <c r="I18" t="s">
        <v>85</v>
      </c>
      <c r="J18" s="17">
        <f>J16/J17</f>
        <v>9.6</v>
      </c>
    </row>
    <row r="19" spans="1:10" x14ac:dyDescent="0.2">
      <c r="A19" s="2"/>
      <c r="B19" s="2"/>
      <c r="C19" s="2"/>
      <c r="D19" s="2"/>
      <c r="F19" s="2"/>
      <c r="G19" s="2"/>
      <c r="I19" t="s">
        <v>86</v>
      </c>
      <c r="J19" s="8">
        <f>IF(J17=6,11,1)</f>
        <v>1</v>
      </c>
    </row>
    <row r="20" spans="1:10" x14ac:dyDescent="0.2">
      <c r="A20" s="2"/>
      <c r="B20" s="2"/>
      <c r="C20" s="2"/>
      <c r="D20" s="2"/>
      <c r="F20" s="2"/>
      <c r="G20" s="2"/>
      <c r="I20" t="s">
        <v>87</v>
      </c>
      <c r="J20" s="28">
        <v>1</v>
      </c>
    </row>
    <row r="21" spans="1:10" x14ac:dyDescent="0.2">
      <c r="A21" s="2"/>
      <c r="B21" s="2"/>
      <c r="C21" s="2"/>
      <c r="D21" s="2"/>
      <c r="F21" s="2"/>
      <c r="G21" s="2"/>
      <c r="I21" t="s">
        <v>88</v>
      </c>
      <c r="J21" s="28">
        <v>0.7</v>
      </c>
    </row>
    <row r="22" spans="1:10" x14ac:dyDescent="0.2">
      <c r="A22" s="2"/>
      <c r="B22" s="2"/>
      <c r="C22" s="2"/>
      <c r="D22" s="2"/>
      <c r="F22" s="2"/>
      <c r="G22" s="2"/>
    </row>
    <row r="23" spans="1:10" x14ac:dyDescent="0.2">
      <c r="A23" s="2"/>
      <c r="B23" s="2"/>
      <c r="C23" s="2"/>
      <c r="D23" s="2"/>
      <c r="F23" s="2"/>
      <c r="G23" s="2"/>
    </row>
    <row r="24" spans="1:10" x14ac:dyDescent="0.2">
      <c r="A24" s="2"/>
      <c r="B24" s="2"/>
      <c r="C24" s="2"/>
      <c r="D24" s="2"/>
      <c r="F24" s="2"/>
      <c r="G24" s="2"/>
    </row>
    <row r="25" spans="1:10" x14ac:dyDescent="0.2">
      <c r="A25" s="2"/>
      <c r="B25" s="2"/>
      <c r="C25" s="2"/>
      <c r="D25" s="2"/>
      <c r="F25" s="2"/>
      <c r="G25" s="2"/>
    </row>
    <row r="26" spans="1:10" x14ac:dyDescent="0.2">
      <c r="A26" s="2"/>
      <c r="B26" s="2"/>
      <c r="C26" s="2"/>
      <c r="D26" s="2"/>
      <c r="F26" s="2"/>
      <c r="G26" s="2"/>
    </row>
    <row r="27" spans="1:10" x14ac:dyDescent="0.2">
      <c r="A27" s="2"/>
      <c r="B27" s="2"/>
      <c r="C27" s="2"/>
      <c r="D27" s="2"/>
      <c r="F27" s="2"/>
      <c r="G27" s="2"/>
    </row>
    <row r="28" spans="1:10" x14ac:dyDescent="0.2">
      <c r="A28" s="2"/>
      <c r="B28" s="2"/>
      <c r="C28" s="2"/>
      <c r="D28" s="2"/>
      <c r="F28" s="2"/>
      <c r="G28" s="2"/>
    </row>
    <row r="29" spans="1:10" x14ac:dyDescent="0.2">
      <c r="A29" s="2"/>
      <c r="B29" s="2"/>
      <c r="C29" s="2"/>
      <c r="D29" s="2"/>
      <c r="F29" s="2"/>
      <c r="G29" s="2"/>
    </row>
    <row r="30" spans="1:10" x14ac:dyDescent="0.2">
      <c r="A30" s="2"/>
      <c r="B30" s="2"/>
      <c r="C30" s="2"/>
      <c r="D30" s="2"/>
      <c r="F30" s="2"/>
      <c r="G30" s="2"/>
    </row>
    <row r="31" spans="1:10" x14ac:dyDescent="0.2">
      <c r="A31" s="2"/>
      <c r="B31" s="2"/>
      <c r="C31" s="2"/>
      <c r="D31" s="2"/>
      <c r="F31" s="2"/>
      <c r="G31" s="2"/>
    </row>
    <row r="32" spans="1:10" x14ac:dyDescent="0.2">
      <c r="A32" s="2"/>
      <c r="B32" s="2"/>
      <c r="C32" s="2"/>
      <c r="D32" s="2"/>
      <c r="F32" s="2"/>
      <c r="G32" s="2"/>
    </row>
    <row r="33" spans="1:7" x14ac:dyDescent="0.2">
      <c r="A33" s="2"/>
      <c r="B33" s="2"/>
      <c r="C33" s="2"/>
      <c r="D33" s="2"/>
      <c r="F33" s="2"/>
      <c r="G33" s="2"/>
    </row>
    <row r="34" spans="1:7" x14ac:dyDescent="0.2">
      <c r="A34" s="2"/>
      <c r="B34" s="2"/>
      <c r="C34" s="2"/>
      <c r="D34" s="2"/>
      <c r="F34" s="2"/>
      <c r="G34" s="2"/>
    </row>
  </sheetData>
  <dataValidations count="2">
    <dataValidation type="list" allowBlank="1" showInputMessage="1" showErrorMessage="1" sqref="J17" xr:uid="{5B8BC79F-380B-234F-9976-847D36B16F36}">
      <formula1>"5,6"</formula1>
    </dataValidation>
    <dataValidation type="decimal" operator="greaterThan" allowBlank="1" showInputMessage="1" showErrorMessage="1" sqref="J16" xr:uid="{8AD3FFD1-ED05-9247-8301-5BBE4814A882}">
      <formula1>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5679-7618-1340-B9F6-9099E22DC34E}">
  <dimension ref="A1:I54"/>
  <sheetViews>
    <sheetView showGridLines="0" workbookViewId="0">
      <pane ySplit="4" topLeftCell="A5" activePane="bottomLeft" state="frozen"/>
      <selection pane="bottomLeft" activeCell="L16" sqref="L16"/>
    </sheetView>
  </sheetViews>
  <sheetFormatPr baseColWidth="10" defaultRowHeight="16" x14ac:dyDescent="0.2"/>
  <cols>
    <col min="1" max="1" width="18.33203125" customWidth="1"/>
    <col min="2" max="3" width="15" customWidth="1"/>
    <col min="4" max="4" width="18.33203125" customWidth="1"/>
    <col min="5" max="5" width="36.6640625" customWidth="1"/>
    <col min="6" max="6" width="16.6640625" customWidth="1"/>
    <col min="7" max="7" width="3.33203125" customWidth="1"/>
    <col min="8" max="8" width="16.6640625" customWidth="1"/>
    <col min="9" max="9" width="36.6640625" customWidth="1"/>
  </cols>
  <sheetData>
    <row r="1" spans="1:9" ht="22" x14ac:dyDescent="0.3">
      <c r="A1" s="4" t="s">
        <v>89</v>
      </c>
    </row>
    <row r="2" spans="1:9" x14ac:dyDescent="0.2">
      <c r="A2" s="3" t="s">
        <v>90</v>
      </c>
    </row>
    <row r="4" spans="1:9" x14ac:dyDescent="0.2">
      <c r="A4" s="58" t="s">
        <v>14</v>
      </c>
      <c r="B4" s="58" t="s">
        <v>91</v>
      </c>
      <c r="C4" s="58" t="s">
        <v>92</v>
      </c>
      <c r="D4" s="58" t="s">
        <v>93</v>
      </c>
      <c r="E4" s="58" t="s">
        <v>94</v>
      </c>
      <c r="F4" s="59" t="s">
        <v>95</v>
      </c>
      <c r="G4" s="8"/>
      <c r="H4" s="58" t="s">
        <v>96</v>
      </c>
      <c r="I4" s="58" t="s">
        <v>97</v>
      </c>
    </row>
    <row r="5" spans="1:9" x14ac:dyDescent="0.2">
      <c r="A5" s="2"/>
      <c r="B5" s="34"/>
      <c r="C5" s="34"/>
      <c r="D5" s="29"/>
      <c r="E5" s="2"/>
      <c r="F5" s="7" t="str">
        <f>IF(OR(tblLeave[[#This Row],[From]]="",tblLeave[[#This Row],[To]]=""),"",NETWORKDAYS.INTL(tblLeave[[#This Row],[From]],tblLeave[[#This Row],[To]],Settings!$J$19,tblHolidays[Holiday Date]))</f>
        <v/>
      </c>
      <c r="H5" s="34"/>
      <c r="I5" s="2"/>
    </row>
    <row r="6" spans="1:9" x14ac:dyDescent="0.2">
      <c r="A6" s="2"/>
      <c r="B6" s="34"/>
      <c r="C6" s="34"/>
      <c r="D6" s="29"/>
      <c r="E6" s="2"/>
      <c r="F6" s="7" t="str">
        <f>IF(OR(tblLeave[[#This Row],[From]]="",tblLeave[[#This Row],[To]]=""),"",NETWORKDAYS.INTL(tblLeave[[#This Row],[From]],tblLeave[[#This Row],[To]],Settings!$J$19,tblHolidays[Holiday Date]))</f>
        <v/>
      </c>
      <c r="H6" s="34"/>
      <c r="I6" s="2"/>
    </row>
    <row r="7" spans="1:9" x14ac:dyDescent="0.2">
      <c r="A7" s="2"/>
      <c r="B7" s="34"/>
      <c r="C7" s="34"/>
      <c r="D7" s="29"/>
      <c r="E7" s="2"/>
      <c r="F7" s="7" t="str">
        <f>IF(OR(tblLeave[[#This Row],[From]]="",tblLeave[[#This Row],[To]]=""),"",NETWORKDAYS.INTL(tblLeave[[#This Row],[From]],tblLeave[[#This Row],[To]],Settings!$J$19,tblHolidays[Holiday Date]))</f>
        <v/>
      </c>
      <c r="H7" s="34"/>
      <c r="I7" s="2"/>
    </row>
    <row r="8" spans="1:9" x14ac:dyDescent="0.2">
      <c r="A8" s="2"/>
      <c r="B8" s="34"/>
      <c r="C8" s="34"/>
      <c r="D8" s="29"/>
      <c r="E8" s="2"/>
      <c r="F8" s="7" t="str">
        <f>IF(OR(tblLeave[[#This Row],[From]]="",tblLeave[[#This Row],[To]]=""),"",NETWORKDAYS.INTL(tblLeave[[#This Row],[From]],tblLeave[[#This Row],[To]],Settings!$J$19,tblHolidays[Holiday Date]))</f>
        <v/>
      </c>
      <c r="H8" s="34"/>
      <c r="I8" s="2"/>
    </row>
    <row r="9" spans="1:9" x14ac:dyDescent="0.2">
      <c r="A9" s="2"/>
      <c r="B9" s="34"/>
      <c r="C9" s="34"/>
      <c r="D9" s="29"/>
      <c r="E9" s="2"/>
      <c r="F9" s="7" t="str">
        <f>IF(OR(tblLeave[[#This Row],[From]]="",tblLeave[[#This Row],[To]]=""),"",NETWORKDAYS.INTL(tblLeave[[#This Row],[From]],tblLeave[[#This Row],[To]],Settings!$J$19,tblHolidays[Holiday Date]))</f>
        <v/>
      </c>
      <c r="H9" s="34"/>
      <c r="I9" s="2"/>
    </row>
    <row r="10" spans="1:9" x14ac:dyDescent="0.2">
      <c r="A10" s="2"/>
      <c r="B10" s="34"/>
      <c r="C10" s="34"/>
      <c r="D10" s="29"/>
      <c r="E10" s="2"/>
      <c r="F10" s="7" t="str">
        <f>IF(OR(tblLeave[[#This Row],[From]]="",tblLeave[[#This Row],[To]]=""),"",NETWORKDAYS.INTL(tblLeave[[#This Row],[From]],tblLeave[[#This Row],[To]],Settings!$J$19,tblHolidays[Holiday Date]))</f>
        <v/>
      </c>
      <c r="H10" s="34"/>
      <c r="I10" s="2"/>
    </row>
    <row r="11" spans="1:9" x14ac:dyDescent="0.2">
      <c r="A11" s="2"/>
      <c r="B11" s="34"/>
      <c r="C11" s="34"/>
      <c r="D11" s="29"/>
      <c r="E11" s="2"/>
      <c r="F11" s="7" t="str">
        <f>IF(OR(tblLeave[[#This Row],[From]]="",tblLeave[[#This Row],[To]]=""),"",NETWORKDAYS.INTL(tblLeave[[#This Row],[From]],tblLeave[[#This Row],[To]],Settings!$J$19,tblHolidays[Holiday Date]))</f>
        <v/>
      </c>
      <c r="H11" s="34"/>
      <c r="I11" s="2"/>
    </row>
    <row r="12" spans="1:9" x14ac:dyDescent="0.2">
      <c r="A12" s="2"/>
      <c r="B12" s="34"/>
      <c r="C12" s="34"/>
      <c r="D12" s="29"/>
      <c r="E12" s="2"/>
      <c r="F12" s="7" t="str">
        <f>IF(OR(tblLeave[[#This Row],[From]]="",tblLeave[[#This Row],[To]]=""),"",NETWORKDAYS.INTL(tblLeave[[#This Row],[From]],tblLeave[[#This Row],[To]],Settings!$J$19,tblHolidays[Holiday Date]))</f>
        <v/>
      </c>
      <c r="H12" s="34"/>
      <c r="I12" s="2"/>
    </row>
    <row r="13" spans="1:9" x14ac:dyDescent="0.2">
      <c r="A13" s="2"/>
      <c r="B13" s="34"/>
      <c r="C13" s="34"/>
      <c r="D13" s="29"/>
      <c r="E13" s="2"/>
      <c r="F13" s="7" t="str">
        <f>IF(OR(tblLeave[[#This Row],[From]]="",tblLeave[[#This Row],[To]]=""),"",NETWORKDAYS.INTL(tblLeave[[#This Row],[From]],tblLeave[[#This Row],[To]],Settings!$J$19,tblHolidays[Holiday Date]))</f>
        <v/>
      </c>
      <c r="H13" s="34"/>
      <c r="I13" s="2"/>
    </row>
    <row r="14" spans="1:9" x14ac:dyDescent="0.2">
      <c r="A14" s="2"/>
      <c r="B14" s="34"/>
      <c r="C14" s="34"/>
      <c r="D14" s="29"/>
      <c r="E14" s="2"/>
      <c r="F14" s="7" t="str">
        <f>IF(OR(tblLeave[[#This Row],[From]]="",tblLeave[[#This Row],[To]]=""),"",NETWORKDAYS.INTL(tblLeave[[#This Row],[From]],tblLeave[[#This Row],[To]],Settings!$J$19,tblHolidays[Holiday Date]))</f>
        <v/>
      </c>
      <c r="H14" s="34"/>
      <c r="I14" s="2"/>
    </row>
    <row r="15" spans="1:9" x14ac:dyDescent="0.2">
      <c r="A15" s="2"/>
      <c r="B15" s="34"/>
      <c r="C15" s="34"/>
      <c r="D15" s="29"/>
      <c r="E15" s="2"/>
      <c r="F15" s="7" t="str">
        <f>IF(OR(tblLeave[[#This Row],[From]]="",tblLeave[[#This Row],[To]]=""),"",NETWORKDAYS.INTL(tblLeave[[#This Row],[From]],tblLeave[[#This Row],[To]],Settings!$J$19,tblHolidays[Holiday Date]))</f>
        <v/>
      </c>
      <c r="H15" s="34"/>
      <c r="I15" s="2"/>
    </row>
    <row r="16" spans="1:9" x14ac:dyDescent="0.2">
      <c r="A16" s="2"/>
      <c r="B16" s="34"/>
      <c r="C16" s="34"/>
      <c r="D16" s="29"/>
      <c r="E16" s="2"/>
      <c r="F16" s="7" t="str">
        <f>IF(OR(tblLeave[[#This Row],[From]]="",tblLeave[[#This Row],[To]]=""),"",NETWORKDAYS.INTL(tblLeave[[#This Row],[From]],tblLeave[[#This Row],[To]],Settings!$J$19,tblHolidays[Holiday Date]))</f>
        <v/>
      </c>
      <c r="H16" s="34"/>
      <c r="I16" s="2"/>
    </row>
    <row r="17" spans="1:9" x14ac:dyDescent="0.2">
      <c r="A17" s="2"/>
      <c r="B17" s="34"/>
      <c r="C17" s="34"/>
      <c r="D17" s="29"/>
      <c r="E17" s="2"/>
      <c r="F17" s="7" t="str">
        <f>IF(OR(tblLeave[[#This Row],[From]]="",tblLeave[[#This Row],[To]]=""),"",NETWORKDAYS.INTL(tblLeave[[#This Row],[From]],tblLeave[[#This Row],[To]],Settings!$J$19,tblHolidays[Holiday Date]))</f>
        <v/>
      </c>
      <c r="H17" s="34"/>
      <c r="I17" s="2"/>
    </row>
    <row r="18" spans="1:9" x14ac:dyDescent="0.2">
      <c r="A18" s="2"/>
      <c r="B18" s="34"/>
      <c r="C18" s="34"/>
      <c r="D18" s="29"/>
      <c r="E18" s="2"/>
      <c r="F18" s="7" t="str">
        <f>IF(OR(tblLeave[[#This Row],[From]]="",tblLeave[[#This Row],[To]]=""),"",NETWORKDAYS.INTL(tblLeave[[#This Row],[From]],tblLeave[[#This Row],[To]],Settings!$J$19,tblHolidays[Holiday Date]))</f>
        <v/>
      </c>
      <c r="H18" s="34"/>
      <c r="I18" s="2"/>
    </row>
    <row r="19" spans="1:9" x14ac:dyDescent="0.2">
      <c r="A19" s="2"/>
      <c r="B19" s="34"/>
      <c r="C19" s="34"/>
      <c r="D19" s="29"/>
      <c r="E19" s="2"/>
      <c r="F19" s="7" t="str">
        <f>IF(OR(tblLeave[[#This Row],[From]]="",tblLeave[[#This Row],[To]]=""),"",NETWORKDAYS.INTL(tblLeave[[#This Row],[From]],tblLeave[[#This Row],[To]],Settings!$J$19,tblHolidays[Holiday Date]))</f>
        <v/>
      </c>
      <c r="H19" s="34"/>
      <c r="I19" s="2"/>
    </row>
    <row r="20" spans="1:9" x14ac:dyDescent="0.2">
      <c r="A20" s="2"/>
      <c r="B20" s="34"/>
      <c r="C20" s="34"/>
      <c r="D20" s="29"/>
      <c r="E20" s="2"/>
      <c r="F20" s="7" t="str">
        <f>IF(OR(tblLeave[[#This Row],[From]]="",tblLeave[[#This Row],[To]]=""),"",NETWORKDAYS.INTL(tblLeave[[#This Row],[From]],tblLeave[[#This Row],[To]],Settings!$J$19,tblHolidays[Holiday Date]))</f>
        <v/>
      </c>
      <c r="H20" s="34"/>
      <c r="I20" s="2"/>
    </row>
    <row r="21" spans="1:9" x14ac:dyDescent="0.2">
      <c r="A21" s="2"/>
      <c r="B21" s="34"/>
      <c r="C21" s="34"/>
      <c r="D21" s="29"/>
      <c r="E21" s="2"/>
      <c r="F21" s="7" t="str">
        <f>IF(OR(tblLeave[[#This Row],[From]]="",tblLeave[[#This Row],[To]]=""),"",NETWORKDAYS.INTL(tblLeave[[#This Row],[From]],tblLeave[[#This Row],[To]],Settings!$J$19,tblHolidays[Holiday Date]))</f>
        <v/>
      </c>
      <c r="H21" s="34"/>
      <c r="I21" s="2"/>
    </row>
    <row r="22" spans="1:9" x14ac:dyDescent="0.2">
      <c r="A22" s="2"/>
      <c r="B22" s="34"/>
      <c r="C22" s="34"/>
      <c r="D22" s="29"/>
      <c r="E22" s="2"/>
      <c r="F22" s="7" t="str">
        <f>IF(OR(tblLeave[[#This Row],[From]]="",tblLeave[[#This Row],[To]]=""),"",NETWORKDAYS.INTL(tblLeave[[#This Row],[From]],tblLeave[[#This Row],[To]],Settings!$J$19,tblHolidays[Holiday Date]))</f>
        <v/>
      </c>
      <c r="H22" s="34"/>
      <c r="I22" s="2"/>
    </row>
    <row r="23" spans="1:9" x14ac:dyDescent="0.2">
      <c r="A23" s="2"/>
      <c r="B23" s="34"/>
      <c r="C23" s="34"/>
      <c r="D23" s="29"/>
      <c r="E23" s="2"/>
      <c r="F23" s="7" t="str">
        <f>IF(OR(tblLeave[[#This Row],[From]]="",tblLeave[[#This Row],[To]]=""),"",NETWORKDAYS.INTL(tblLeave[[#This Row],[From]],tblLeave[[#This Row],[To]],Settings!$J$19,tblHolidays[Holiday Date]))</f>
        <v/>
      </c>
      <c r="H23" s="34"/>
      <c r="I23" s="2"/>
    </row>
    <row r="24" spans="1:9" x14ac:dyDescent="0.2">
      <c r="A24" s="2"/>
      <c r="B24" s="34"/>
      <c r="C24" s="34"/>
      <c r="D24" s="29"/>
      <c r="E24" s="2"/>
      <c r="F24" s="7" t="str">
        <f>IF(OR(tblLeave[[#This Row],[From]]="",tblLeave[[#This Row],[To]]=""),"",NETWORKDAYS.INTL(tblLeave[[#This Row],[From]],tblLeave[[#This Row],[To]],Settings!$J$19,tblHolidays[Holiday Date]))</f>
        <v/>
      </c>
      <c r="H24" s="34"/>
      <c r="I24" s="2"/>
    </row>
    <row r="25" spans="1:9" x14ac:dyDescent="0.2">
      <c r="A25" s="2"/>
      <c r="B25" s="34"/>
      <c r="C25" s="34"/>
      <c r="D25" s="29"/>
      <c r="E25" s="2"/>
      <c r="F25" s="7" t="str">
        <f>IF(OR(tblLeave[[#This Row],[From]]="",tblLeave[[#This Row],[To]]=""),"",NETWORKDAYS.INTL(tblLeave[[#This Row],[From]],tblLeave[[#This Row],[To]],Settings!$J$19,tblHolidays[Holiday Date]))</f>
        <v/>
      </c>
      <c r="H25" s="34"/>
      <c r="I25" s="2"/>
    </row>
    <row r="26" spans="1:9" x14ac:dyDescent="0.2">
      <c r="A26" s="2"/>
      <c r="B26" s="34"/>
      <c r="C26" s="34"/>
      <c r="D26" s="29"/>
      <c r="E26" s="2"/>
      <c r="F26" s="7" t="str">
        <f>IF(OR(tblLeave[[#This Row],[From]]="",tblLeave[[#This Row],[To]]=""),"",NETWORKDAYS.INTL(tblLeave[[#This Row],[From]],tblLeave[[#This Row],[To]],Settings!$J$19,tblHolidays[Holiday Date]))</f>
        <v/>
      </c>
      <c r="H26" s="34"/>
      <c r="I26" s="2"/>
    </row>
    <row r="27" spans="1:9" x14ac:dyDescent="0.2">
      <c r="A27" s="2"/>
      <c r="B27" s="34"/>
      <c r="C27" s="34"/>
      <c r="D27" s="29"/>
      <c r="E27" s="2"/>
      <c r="F27" s="7" t="str">
        <f>IF(OR(tblLeave[[#This Row],[From]]="",tblLeave[[#This Row],[To]]=""),"",NETWORKDAYS.INTL(tblLeave[[#This Row],[From]],tblLeave[[#This Row],[To]],Settings!$J$19,tblHolidays[Holiday Date]))</f>
        <v/>
      </c>
      <c r="H27" s="34"/>
      <c r="I27" s="2"/>
    </row>
    <row r="28" spans="1:9" x14ac:dyDescent="0.2">
      <c r="A28" s="2"/>
      <c r="B28" s="34"/>
      <c r="C28" s="34"/>
      <c r="D28" s="29"/>
      <c r="E28" s="2"/>
      <c r="F28" s="7" t="str">
        <f>IF(OR(tblLeave[[#This Row],[From]]="",tblLeave[[#This Row],[To]]=""),"",NETWORKDAYS.INTL(tblLeave[[#This Row],[From]],tblLeave[[#This Row],[To]],Settings!$J$19,tblHolidays[Holiday Date]))</f>
        <v/>
      </c>
      <c r="H28" s="34"/>
      <c r="I28" s="2"/>
    </row>
    <row r="29" spans="1:9" x14ac:dyDescent="0.2">
      <c r="A29" s="2"/>
      <c r="B29" s="34"/>
      <c r="C29" s="34"/>
      <c r="D29" s="29"/>
      <c r="E29" s="2"/>
      <c r="F29" s="7" t="str">
        <f>IF(OR(tblLeave[[#This Row],[From]]="",tblLeave[[#This Row],[To]]=""),"",NETWORKDAYS.INTL(tblLeave[[#This Row],[From]],tblLeave[[#This Row],[To]],Settings!$J$19,tblHolidays[Holiday Date]))</f>
        <v/>
      </c>
      <c r="H29" s="34"/>
      <c r="I29" s="2"/>
    </row>
    <row r="30" spans="1:9" x14ac:dyDescent="0.2">
      <c r="A30" s="2"/>
      <c r="B30" s="34"/>
      <c r="C30" s="34"/>
      <c r="D30" s="29"/>
      <c r="E30" s="2"/>
      <c r="F30" s="7" t="str">
        <f>IF(OR(tblLeave[[#This Row],[From]]="",tblLeave[[#This Row],[To]]=""),"",NETWORKDAYS.INTL(tblLeave[[#This Row],[From]],tblLeave[[#This Row],[To]],Settings!$J$19,tblHolidays[Holiday Date]))</f>
        <v/>
      </c>
      <c r="H30" s="34"/>
      <c r="I30" s="2"/>
    </row>
    <row r="31" spans="1:9" x14ac:dyDescent="0.2">
      <c r="A31" s="2"/>
      <c r="B31" s="34"/>
      <c r="C31" s="34"/>
      <c r="D31" s="29"/>
      <c r="E31" s="2"/>
      <c r="F31" s="7" t="str">
        <f>IF(OR(tblLeave[[#This Row],[From]]="",tblLeave[[#This Row],[To]]=""),"",NETWORKDAYS.INTL(tblLeave[[#This Row],[From]],tblLeave[[#This Row],[To]],Settings!$J$19,tblHolidays[Holiday Date]))</f>
        <v/>
      </c>
      <c r="H31" s="34"/>
      <c r="I31" s="2"/>
    </row>
    <row r="32" spans="1:9" x14ac:dyDescent="0.2">
      <c r="A32" s="2"/>
      <c r="B32" s="34"/>
      <c r="C32" s="34"/>
      <c r="D32" s="29"/>
      <c r="E32" s="2"/>
      <c r="F32" s="7" t="str">
        <f>IF(OR(tblLeave[[#This Row],[From]]="",tblLeave[[#This Row],[To]]=""),"",NETWORKDAYS.INTL(tblLeave[[#This Row],[From]],tblLeave[[#This Row],[To]],Settings!$J$19,tblHolidays[Holiday Date]))</f>
        <v/>
      </c>
      <c r="H32" s="34"/>
      <c r="I32" s="2"/>
    </row>
    <row r="33" spans="1:9" x14ac:dyDescent="0.2">
      <c r="A33" s="2"/>
      <c r="B33" s="34"/>
      <c r="C33" s="34"/>
      <c r="D33" s="29"/>
      <c r="E33" s="2"/>
      <c r="F33" s="7" t="str">
        <f>IF(OR(tblLeave[[#This Row],[From]]="",tblLeave[[#This Row],[To]]=""),"",NETWORKDAYS.INTL(tblLeave[[#This Row],[From]],tblLeave[[#This Row],[To]],Settings!$J$19,tblHolidays[Holiday Date]))</f>
        <v/>
      </c>
      <c r="H33" s="34"/>
      <c r="I33" s="2"/>
    </row>
    <row r="34" spans="1:9" x14ac:dyDescent="0.2">
      <c r="A34" s="2"/>
      <c r="B34" s="34"/>
      <c r="C34" s="34"/>
      <c r="D34" s="29"/>
      <c r="E34" s="2"/>
      <c r="F34" s="7" t="str">
        <f>IF(OR(tblLeave[[#This Row],[From]]="",tblLeave[[#This Row],[To]]=""),"",NETWORKDAYS.INTL(tblLeave[[#This Row],[From]],tblLeave[[#This Row],[To]],Settings!$J$19,tblHolidays[Holiday Date]))</f>
        <v/>
      </c>
      <c r="H34" s="34"/>
      <c r="I34" s="2"/>
    </row>
    <row r="35" spans="1:9" x14ac:dyDescent="0.2">
      <c r="A35" s="2"/>
      <c r="B35" s="34"/>
      <c r="C35" s="34"/>
      <c r="D35" s="29"/>
      <c r="E35" s="2"/>
      <c r="F35" s="7" t="str">
        <f>IF(OR(tblLeave[[#This Row],[From]]="",tblLeave[[#This Row],[To]]=""),"",NETWORKDAYS.INTL(tblLeave[[#This Row],[From]],tblLeave[[#This Row],[To]],Settings!$J$19,tblHolidays[Holiday Date]))</f>
        <v/>
      </c>
    </row>
    <row r="36" spans="1:9" x14ac:dyDescent="0.2">
      <c r="A36" s="2"/>
      <c r="B36" s="34"/>
      <c r="C36" s="34"/>
      <c r="D36" s="29"/>
      <c r="E36" s="2"/>
      <c r="F36" s="7" t="str">
        <f>IF(OR(tblLeave[[#This Row],[From]]="",tblLeave[[#This Row],[To]]=""),"",NETWORKDAYS.INTL(tblLeave[[#This Row],[From]],tblLeave[[#This Row],[To]],Settings!$J$19,tblHolidays[Holiday Date]))</f>
        <v/>
      </c>
    </row>
    <row r="37" spans="1:9" x14ac:dyDescent="0.2">
      <c r="A37" s="2"/>
      <c r="B37" s="34"/>
      <c r="C37" s="34"/>
      <c r="D37" s="29"/>
      <c r="E37" s="2"/>
      <c r="F37" s="7" t="str">
        <f>IF(OR(tblLeave[[#This Row],[From]]="",tblLeave[[#This Row],[To]]=""),"",NETWORKDAYS.INTL(tblLeave[[#This Row],[From]],tblLeave[[#This Row],[To]],Settings!$J$19,tblHolidays[Holiday Date]))</f>
        <v/>
      </c>
    </row>
    <row r="38" spans="1:9" x14ac:dyDescent="0.2">
      <c r="A38" s="2"/>
      <c r="B38" s="34"/>
      <c r="C38" s="34"/>
      <c r="D38" s="29"/>
      <c r="E38" s="2"/>
      <c r="F38" s="7" t="str">
        <f>IF(OR(tblLeave[[#This Row],[From]]="",tblLeave[[#This Row],[To]]=""),"",NETWORKDAYS.INTL(tblLeave[[#This Row],[From]],tblLeave[[#This Row],[To]],Settings!$J$19,tblHolidays[Holiday Date]))</f>
        <v/>
      </c>
    </row>
    <row r="39" spans="1:9" x14ac:dyDescent="0.2">
      <c r="A39" s="2"/>
      <c r="B39" s="34"/>
      <c r="C39" s="34"/>
      <c r="D39" s="29"/>
      <c r="E39" s="2"/>
      <c r="F39" s="7" t="str">
        <f>IF(OR(tblLeave[[#This Row],[From]]="",tblLeave[[#This Row],[To]]=""),"",NETWORKDAYS.INTL(tblLeave[[#This Row],[From]],tblLeave[[#This Row],[To]],Settings!$J$19,tblHolidays[Holiday Date]))</f>
        <v/>
      </c>
    </row>
    <row r="40" spans="1:9" x14ac:dyDescent="0.2">
      <c r="A40" s="2"/>
      <c r="B40" s="34"/>
      <c r="C40" s="34"/>
      <c r="D40" s="29"/>
      <c r="E40" s="2"/>
      <c r="F40" s="7" t="str">
        <f>IF(OR(tblLeave[[#This Row],[From]]="",tblLeave[[#This Row],[To]]=""),"",NETWORKDAYS.INTL(tblLeave[[#This Row],[From]],tblLeave[[#This Row],[To]],Settings!$J$19,tblHolidays[Holiday Date]))</f>
        <v/>
      </c>
    </row>
    <row r="41" spans="1:9" x14ac:dyDescent="0.2">
      <c r="A41" s="2"/>
      <c r="B41" s="34"/>
      <c r="C41" s="34"/>
      <c r="D41" s="29"/>
      <c r="E41" s="2"/>
      <c r="F41" s="7" t="str">
        <f>IF(OR(tblLeave[[#This Row],[From]]="",tblLeave[[#This Row],[To]]=""),"",NETWORKDAYS.INTL(tblLeave[[#This Row],[From]],tblLeave[[#This Row],[To]],Settings!$J$19,tblHolidays[Holiday Date]))</f>
        <v/>
      </c>
    </row>
    <row r="42" spans="1:9" x14ac:dyDescent="0.2">
      <c r="A42" s="2"/>
      <c r="B42" s="34"/>
      <c r="C42" s="34"/>
      <c r="D42" s="29"/>
      <c r="E42" s="2"/>
      <c r="F42" s="7" t="str">
        <f>IF(OR(tblLeave[[#This Row],[From]]="",tblLeave[[#This Row],[To]]=""),"",NETWORKDAYS.INTL(tblLeave[[#This Row],[From]],tblLeave[[#This Row],[To]],Settings!$J$19,tblHolidays[Holiday Date]))</f>
        <v/>
      </c>
    </row>
    <row r="43" spans="1:9" x14ac:dyDescent="0.2">
      <c r="A43" s="2"/>
      <c r="B43" s="34"/>
      <c r="C43" s="34"/>
      <c r="D43" s="29"/>
      <c r="E43" s="2"/>
      <c r="F43" s="7" t="str">
        <f>IF(OR(tblLeave[[#This Row],[From]]="",tblLeave[[#This Row],[To]]=""),"",NETWORKDAYS.INTL(tblLeave[[#This Row],[From]],tblLeave[[#This Row],[To]],Settings!$J$19,tblHolidays[Holiday Date]))</f>
        <v/>
      </c>
    </row>
    <row r="44" spans="1:9" x14ac:dyDescent="0.2">
      <c r="A44" s="2"/>
      <c r="B44" s="34"/>
      <c r="C44" s="34"/>
      <c r="D44" s="29"/>
      <c r="E44" s="2"/>
      <c r="F44" s="7" t="str">
        <f>IF(OR(tblLeave[[#This Row],[From]]="",tblLeave[[#This Row],[To]]=""),"",NETWORKDAYS.INTL(tblLeave[[#This Row],[From]],tblLeave[[#This Row],[To]],Settings!$J$19,tblHolidays[Holiday Date]))</f>
        <v/>
      </c>
    </row>
    <row r="45" spans="1:9" x14ac:dyDescent="0.2">
      <c r="A45" s="2"/>
      <c r="B45" s="34"/>
      <c r="C45" s="34"/>
      <c r="D45" s="29"/>
      <c r="E45" s="2"/>
      <c r="F45" s="7" t="str">
        <f>IF(OR(tblLeave[[#This Row],[From]]="",tblLeave[[#This Row],[To]]=""),"",NETWORKDAYS.INTL(tblLeave[[#This Row],[From]],tblLeave[[#This Row],[To]],Settings!$J$19,tblHolidays[Holiday Date]))</f>
        <v/>
      </c>
    </row>
    <row r="46" spans="1:9" x14ac:dyDescent="0.2">
      <c r="A46" s="2"/>
      <c r="B46" s="34"/>
      <c r="C46" s="34"/>
      <c r="D46" s="29"/>
      <c r="E46" s="2"/>
      <c r="F46" s="7" t="str">
        <f>IF(OR(tblLeave[[#This Row],[From]]="",tblLeave[[#This Row],[To]]=""),"",NETWORKDAYS.INTL(tblLeave[[#This Row],[From]],tblLeave[[#This Row],[To]],Settings!$J$19,tblHolidays[Holiday Date]))</f>
        <v/>
      </c>
    </row>
    <row r="47" spans="1:9" x14ac:dyDescent="0.2">
      <c r="A47" s="2"/>
      <c r="B47" s="34"/>
      <c r="C47" s="34"/>
      <c r="D47" s="29"/>
      <c r="E47" s="2"/>
      <c r="F47" s="7" t="str">
        <f>IF(OR(tblLeave[[#This Row],[From]]="",tblLeave[[#This Row],[To]]=""),"",NETWORKDAYS.INTL(tblLeave[[#This Row],[From]],tblLeave[[#This Row],[To]],Settings!$J$19,tblHolidays[Holiday Date]))</f>
        <v/>
      </c>
    </row>
    <row r="48" spans="1:9" x14ac:dyDescent="0.2">
      <c r="A48" s="2"/>
      <c r="B48" s="34"/>
      <c r="C48" s="34"/>
      <c r="D48" s="29"/>
      <c r="E48" s="2"/>
      <c r="F48" s="7" t="str">
        <f>IF(OR(tblLeave[[#This Row],[From]]="",tblLeave[[#This Row],[To]]=""),"",NETWORKDAYS.INTL(tblLeave[[#This Row],[From]],tblLeave[[#This Row],[To]],Settings!$J$19,tblHolidays[Holiday Date]))</f>
        <v/>
      </c>
    </row>
    <row r="49" spans="1:6" x14ac:dyDescent="0.2">
      <c r="A49" s="2"/>
      <c r="B49" s="34"/>
      <c r="C49" s="34"/>
      <c r="D49" s="29"/>
      <c r="E49" s="2"/>
      <c r="F49" s="7" t="str">
        <f>IF(OR(tblLeave[[#This Row],[From]]="",tblLeave[[#This Row],[To]]=""),"",NETWORKDAYS.INTL(tblLeave[[#This Row],[From]],tblLeave[[#This Row],[To]],Settings!$J$19,tblHolidays[Holiday Date]))</f>
        <v/>
      </c>
    </row>
    <row r="50" spans="1:6" x14ac:dyDescent="0.2">
      <c r="A50" s="2"/>
      <c r="B50" s="34"/>
      <c r="C50" s="34"/>
      <c r="D50" s="29"/>
      <c r="E50" s="2"/>
      <c r="F50" s="7" t="str">
        <f>IF(OR(tblLeave[[#This Row],[From]]="",tblLeave[[#This Row],[To]]=""),"",NETWORKDAYS.INTL(tblLeave[[#This Row],[From]],tblLeave[[#This Row],[To]],Settings!$J$19,tblHolidays[Holiday Date]))</f>
        <v/>
      </c>
    </row>
    <row r="51" spans="1:6" x14ac:dyDescent="0.2">
      <c r="A51" s="2"/>
      <c r="B51" s="34"/>
      <c r="C51" s="34"/>
      <c r="D51" s="29"/>
      <c r="E51" s="2"/>
      <c r="F51" s="7" t="str">
        <f>IF(OR(tblLeave[[#This Row],[From]]="",tblLeave[[#This Row],[To]]=""),"",NETWORKDAYS.INTL(tblLeave[[#This Row],[From]],tblLeave[[#This Row],[To]],Settings!$J$19,tblHolidays[Holiday Date]))</f>
        <v/>
      </c>
    </row>
    <row r="52" spans="1:6" x14ac:dyDescent="0.2">
      <c r="A52" s="2"/>
      <c r="B52" s="34"/>
      <c r="C52" s="34"/>
      <c r="D52" s="29"/>
      <c r="E52" s="2"/>
      <c r="F52" s="7" t="str">
        <f>IF(OR(tblLeave[[#This Row],[From]]="",tblLeave[[#This Row],[To]]=""),"",NETWORKDAYS.INTL(tblLeave[[#This Row],[From]],tblLeave[[#This Row],[To]],Settings!$J$19,tblHolidays[Holiday Date]))</f>
        <v/>
      </c>
    </row>
    <row r="53" spans="1:6" x14ac:dyDescent="0.2">
      <c r="A53" s="2"/>
      <c r="B53" s="34"/>
      <c r="C53" s="34"/>
      <c r="D53" s="29"/>
      <c r="E53" s="2"/>
      <c r="F53" s="7" t="str">
        <f>IF(OR(tblLeave[[#This Row],[From]]="",tblLeave[[#This Row],[To]]=""),"",NETWORKDAYS.INTL(tblLeave[[#This Row],[From]],tblLeave[[#This Row],[To]],Settings!$J$19,tblHolidays[Holiday Date]))</f>
        <v/>
      </c>
    </row>
    <row r="54" spans="1:6" x14ac:dyDescent="0.2">
      <c r="A54" s="2"/>
      <c r="B54" s="34"/>
      <c r="C54" s="34"/>
      <c r="D54" s="29"/>
      <c r="E54" s="2"/>
      <c r="F54" s="7" t="str">
        <f>IF(OR(tblLeave[[#This Row],[From]]="",tblLeave[[#This Row],[To]]=""),"",NETWORKDAYS.INTL(tblLeave[[#This Row],[From]],tblLeave[[#This Row],[To]],Settings!$J$19,tblHolidays[Holiday Date]))</f>
        <v/>
      </c>
    </row>
  </sheetData>
  <dataValidations count="2">
    <dataValidation type="list" allowBlank="1" showInputMessage="1" showErrorMessage="1" sqref="D5:D54" xr:uid="{27A02061-CC6C-D04B-8015-824DC4A6240F}">
      <formula1>"Planned Leave,Sick Leave,Comp-off,Other"</formula1>
    </dataValidation>
    <dataValidation type="date" operator="greaterThan" allowBlank="1" showInputMessage="1" showErrorMessage="1" sqref="B5:C54 H5:H34" xr:uid="{3024F532-144D-5145-A139-6698B294AC4E}">
      <formula1>36526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03D0EE-0915-A949-BFED-4449775DDDFD}">
          <x14:formula1>
            <xm:f>OFFSET(Settings!$A$5,0,0,MAX(1,COUNTA(Settings!$A$5:$A$34)),1)</xm:f>
          </x14:formula1>
          <xm:sqref>A5:A54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2"/>
  <sheetViews>
    <sheetView showGridLines="0" workbookViewId="0"/>
  </sheetViews>
  <sheetFormatPr baseColWidth="10" defaultRowHeight="16"/>
  <cols>
    <col min="1" max="1" width="24" customWidth="1"/>
    <col min="2" max="2" width="12.5" customWidth="1"/>
    <col min="3" max="3" width="12.5" customWidth="1"/>
    <col min="4" max="4" width="12.5" customWidth="1"/>
    <col min="5" max="5" width="12.5" customWidth="1"/>
    <col min="6" max="6" width="12.5" customWidth="1"/>
    <col min="7" max="7" width="12.5" customWidth="1"/>
    <col min="8" max="8" width="12.5" customWidth="1"/>
    <col min="9" max="9" width="18" customWidth="1"/>
    <col min="10" max="10" width="12.5" customWidth="1"/>
    <col min="11" max="11" width="12.5" customWidth="1"/>
    <col min="12" max="12" width="12.5" customWidth="1"/>
    <col min="13" max="13" width="12.5" customWidth="1"/>
    <col min="14" max="14" width="12.5" customWidth="1"/>
    <col min="15" max="15" width="12.5" customWidth="1"/>
    <col min="16" max="16" width="12.5" customWidth="1"/>
  </cols>
  <sheetData>
    <row r="1">
      <c r="A1" s="4" t="inlineStr">
        <is>
          <t xml:space="preserve">Performance Dashboard</t>
        </is>
      </c>
    </row>
    <row r="2">
      <c r="A2" s="3">
        <f>="Live from the Tracker, Scorecard, Task Details and Daily Log. Period "&amp;TEXT(Scorecard!B4,"dd-mmm-yyyy")&amp;" to "&amp;TEXT(Scorecard!B5,"dd-mmm-yyyy")&amp;" (set on the Scorecard). Charts refresh when the workbook recalculates."</f>
      </c>
    </row>
    <row r="4">
      <c r="A4" s="5" t="inlineStr">
        <is>
          <t xml:space="preserve">Total Tasks</t>
        </is>
      </c>
      <c r="B4" s="5"/>
      <c r="C4" s="5" t="inlineStr">
        <is>
          <t xml:space="preserve">Completed</t>
        </is>
      </c>
      <c r="D4" s="5"/>
      <c r="E4" s="5" t="inlineStr">
        <is>
          <t xml:space="preserve">Open</t>
        </is>
      </c>
      <c r="F4" s="5"/>
      <c r="G4" s="5" t="inlineStr">
        <is>
          <t xml:space="preserve">Overdue</t>
        </is>
      </c>
      <c r="H4" s="5"/>
      <c r="I4" s="5" t="inlineStr">
        <is>
          <t xml:space="preserve">Blocked</t>
        </is>
      </c>
      <c r="J4" s="5"/>
      <c r="K4" s="5" t="inlineStr">
        <is>
          <t xml:space="preserve">On-Time % (all done)</t>
        </is>
      </c>
      <c r="L4" s="5"/>
      <c r="M4" s="5" t="inlineStr">
        <is>
          <t xml:space="preserve">Avg Task Score</t>
        </is>
      </c>
      <c r="N4" s="5"/>
      <c r="O4" s="5" t="inlineStr">
        <is>
          <t xml:space="preserve">Hours Logged (period)</t>
        </is>
      </c>
      <c r="P4" s="5"/>
    </row>
    <row r="5" ht="40" customHeight="1">
      <c r="A5" s="72">
        <f>Scorecard!A8</f>
      </c>
      <c r="B5" s="72"/>
      <c r="C5" s="72">
        <f>Scorecard!B8</f>
      </c>
      <c r="D5" s="72"/>
      <c r="E5" s="72">
        <f>Scorecard!C8</f>
      </c>
      <c r="F5" s="72"/>
      <c r="G5" s="72">
        <f>Scorecard!E8</f>
      </c>
      <c r="H5" s="72"/>
      <c r="I5" s="72">
        <f>Scorecard!D8</f>
      </c>
      <c r="J5" s="72"/>
      <c r="K5" s="73">
        <f>IFERROR(COUNTIFS(tblTasks[Delivery Status],"Done On Time")/COUNTIFS(tblTasks[Delivery Status],"Done*"),"-")</f>
      </c>
      <c r="L5" s="73"/>
      <c r="M5" s="72">
        <f>IFERROR(AVERAGE(tblTasks[Task Score]),"-")</f>
      </c>
      <c r="N5" s="72"/>
      <c r="O5" s="72">
        <f>SUMIFS('Daily Log'!$F:$F,'Daily Log'!$A:$A,"&gt;="&amp;Scorecard!$B$4,'Daily Log'!$A:$A,"&lt;="&amp;Scorecard!$B$5)</f>
      </c>
      <c r="P5" s="72"/>
    </row>
    <row r="66">
      <c r="A66" s="35" t="inlineStr">
        <is>
          <t xml:space="preserve">Data behind the charts</t>
        </is>
      </c>
    </row>
    <row r="67">
      <c r="A67" s="5" t="inlineStr">
        <is>
          <t xml:space="preserve">Designer</t>
        </is>
      </c>
      <c r="B67" s="5" t="inlineStr">
        <is>
          <t xml:space="preserve">Completed (period)</t>
        </is>
      </c>
      <c r="C67" s="5" t="inlineStr">
        <is>
          <t xml:space="preserve">On-Time %</t>
        </is>
      </c>
      <c r="D67" s="5" t="inlineStr">
        <is>
          <t xml:space="preserve">Avg TAT (days)</t>
        </is>
      </c>
      <c r="E67" s="5" t="inlineStr">
        <is>
          <t xml:space="preserve">Speed</t>
        </is>
      </c>
      <c r="F67" s="5" t="inlineStr">
        <is>
          <t xml:space="preserve">Quality</t>
        </is>
      </c>
      <c r="G67" s="5" t="inlineStr">
        <is>
          <t xml:space="preserve">Commitment</t>
        </is>
      </c>
      <c r="H67" s="5" t="inlineStr">
        <is>
          <t xml:space="preserve">Overall</t>
        </is>
      </c>
      <c r="I67" s="5" t="inlineStr">
        <is>
          <t xml:space="preserve">Rating</t>
        </is>
      </c>
      <c r="J67" s="5" t="inlineStr">
        <is>
          <t xml:space="preserve">Hours Logged (period)</t>
        </is>
      </c>
      <c r="K67" s="5" t="inlineStr">
        <is>
          <t xml:space="preserve">Utilisation (this week)</t>
        </is>
      </c>
    </row>
    <row r="68">
      <c r="A68" s="10">
        <f>Scorecard!A12</f>
      </c>
      <c r="B68" s="12">
        <f>Scorecard!B12</f>
      </c>
      <c r="C68" s="18">
        <f>Scorecard!D12</f>
      </c>
      <c r="D68" s="60">
        <f>Scorecard!C12</f>
      </c>
      <c r="E68" s="12">
        <f>Scorecard!F12</f>
      </c>
      <c r="F68" s="12">
        <f>Scorecard!G12</f>
      </c>
      <c r="G68" s="12">
        <f>Scorecard!H12</f>
      </c>
      <c r="H68" s="12">
        <f>Scorecard!I12</f>
      </c>
      <c r="I68" s="9">
        <f>Scorecard!J12</f>
      </c>
      <c r="J68" s="60">
        <f>IF($A68="","",SUMIFS('Daily Log'!$F:$F,'Daily Log'!$C:$C,$A68,'Daily Log'!$A:$A,"&gt;="&amp;Scorecard!$B$4,'Daily Log'!$A:$A,"&lt;="&amp;Scorecard!$B$5))</f>
      </c>
      <c r="K68" s="18">
        <f>Scorecard!C41</f>
      </c>
    </row>
    <row r="69">
      <c r="A69" s="10">
        <f>Scorecard!A13</f>
      </c>
      <c r="B69" s="12">
        <f>Scorecard!B13</f>
      </c>
      <c r="C69" s="18">
        <f>Scorecard!D13</f>
      </c>
      <c r="D69" s="60">
        <f>Scorecard!C13</f>
      </c>
      <c r="E69" s="12">
        <f>Scorecard!F13</f>
      </c>
      <c r="F69" s="12">
        <f>Scorecard!G13</f>
      </c>
      <c r="G69" s="12">
        <f>Scorecard!H13</f>
      </c>
      <c r="H69" s="12">
        <f>Scorecard!I13</f>
      </c>
      <c r="I69" s="9">
        <f>Scorecard!J13</f>
      </c>
      <c r="J69" s="60">
        <f>IF($A69="","",SUMIFS('Daily Log'!$F:$F,'Daily Log'!$C:$C,$A69,'Daily Log'!$A:$A,"&gt;="&amp;Scorecard!$B$4,'Daily Log'!$A:$A,"&lt;="&amp;Scorecard!$B$5))</f>
      </c>
      <c r="K69" s="18">
        <f>Scorecard!C47</f>
      </c>
    </row>
    <row r="70">
      <c r="A70" s="10">
        <f>Scorecard!A14</f>
      </c>
      <c r="B70" s="12">
        <f>Scorecard!B14</f>
      </c>
      <c r="C70" s="18">
        <f>Scorecard!D14</f>
      </c>
      <c r="D70" s="60">
        <f>Scorecard!C14</f>
      </c>
      <c r="E70" s="12">
        <f>Scorecard!F14</f>
      </c>
      <c r="F70" s="12">
        <f>Scorecard!G14</f>
      </c>
      <c r="G70" s="12">
        <f>Scorecard!H14</f>
      </c>
      <c r="H70" s="12">
        <f>Scorecard!I14</f>
      </c>
      <c r="I70" s="9">
        <f>Scorecard!J14</f>
      </c>
      <c r="J70" s="60">
        <f>IF($A70="","",SUMIFS('Daily Log'!$F:$F,'Daily Log'!$C:$C,$A70,'Daily Log'!$A:$A,"&gt;="&amp;Scorecard!$B$4,'Daily Log'!$A:$A,"&lt;="&amp;Scorecard!$B$5))</f>
      </c>
      <c r="K70" s="18">
        <f>Scorecard!C53</f>
      </c>
    </row>
    <row r="71">
      <c r="A71" s="10">
        <f>Scorecard!A15</f>
      </c>
      <c r="B71" s="12">
        <f>Scorecard!B15</f>
      </c>
      <c r="C71" s="18">
        <f>Scorecard!D15</f>
      </c>
      <c r="D71" s="60">
        <f>Scorecard!C15</f>
      </c>
      <c r="E71" s="12">
        <f>Scorecard!F15</f>
      </c>
      <c r="F71" s="12">
        <f>Scorecard!G15</f>
      </c>
      <c r="G71" s="12">
        <f>Scorecard!H15</f>
      </c>
      <c r="H71" s="12">
        <f>Scorecard!I15</f>
      </c>
      <c r="I71" s="9">
        <f>Scorecard!J15</f>
      </c>
      <c r="J71" s="60">
        <f>IF($A71="","",SUMIFS('Daily Log'!$F:$F,'Daily Log'!$C:$C,$A71,'Daily Log'!$A:$A,"&gt;="&amp;Scorecard!$B$4,'Daily Log'!$A:$A,"&lt;="&amp;Scorecard!$B$5))</f>
      </c>
      <c r="K71" s="18">
        <f>Scorecard!C59</f>
      </c>
    </row>
    <row r="72">
      <c r="A72" s="10">
        <f>Scorecard!A16</f>
      </c>
      <c r="B72" s="12">
        <f>Scorecard!B16</f>
      </c>
      <c r="C72" s="18">
        <f>Scorecard!D16</f>
      </c>
      <c r="D72" s="60">
        <f>Scorecard!C16</f>
      </c>
      <c r="E72" s="12">
        <f>Scorecard!F16</f>
      </c>
      <c r="F72" s="12">
        <f>Scorecard!G16</f>
      </c>
      <c r="G72" s="12">
        <f>Scorecard!H16</f>
      </c>
      <c r="H72" s="12">
        <f>Scorecard!I16</f>
      </c>
      <c r="I72" s="9">
        <f>Scorecard!J16</f>
      </c>
      <c r="J72" s="60">
        <f>IF($A72="","",SUMIFS('Daily Log'!$F:$F,'Daily Log'!$C:$C,$A72,'Daily Log'!$A:$A,"&gt;="&amp;Scorecard!$B$4,'Daily Log'!$A:$A,"&lt;="&amp;Scorecard!$B$5))</f>
      </c>
      <c r="K72" s="18">
        <f>Scorecard!C65</f>
      </c>
    </row>
    <row r="75">
      <c r="A75" s="5" t="inlineStr">
        <is>
          <t xml:space="preserve">Delivery Status</t>
        </is>
      </c>
      <c r="B75" s="5" t="inlineStr">
        <is>
          <t xml:space="preserve">Tasks</t>
        </is>
      </c>
    </row>
    <row r="76">
      <c r="A76" s="10" t="inlineStr">
        <is>
          <t xml:space="preserve">Done On Time</t>
        </is>
      </c>
      <c r="B76" s="12">
        <f>COUNTIFS(tblTasks[Delivery Status],$A76)</f>
      </c>
    </row>
    <row r="77">
      <c r="A77" s="10" t="inlineStr">
        <is>
          <t xml:space="preserve">Done Late</t>
        </is>
      </c>
      <c r="B77" s="12">
        <f>COUNTIFS(tblTasks[Delivery Status],$A77)</f>
      </c>
    </row>
    <row r="78">
      <c r="A78" s="10" t="inlineStr">
        <is>
          <t xml:space="preserve">On Track</t>
        </is>
      </c>
      <c r="B78" s="12">
        <f>COUNTIFS(tblTasks[Delivery Status],$A78)</f>
      </c>
    </row>
    <row r="79">
      <c r="A79" s="10" t="inlineStr">
        <is>
          <t xml:space="preserve">Scheduled</t>
        </is>
      </c>
      <c r="B79" s="12">
        <f>COUNTIFS(tblTasks[Delivery Status],$A79)</f>
      </c>
    </row>
    <row r="80">
      <c r="A80" s="10" t="inlineStr">
        <is>
          <t xml:space="preserve">Overdue</t>
        </is>
      </c>
      <c r="B80" s="12">
        <f>COUNTIFS(tblTasks[Delivery Status],$A80)</f>
      </c>
    </row>
    <row r="81">
      <c r="A81" s="10" t="inlineStr">
        <is>
          <t xml:space="preserve">Blocked</t>
        </is>
      </c>
      <c r="B81" s="12">
        <f>COUNTIFS(tblTasks[Delivery Status],$A81)</f>
      </c>
    </row>
    <row r="82">
      <c r="A82" s="10" t="inlineStr">
        <is>
          <t xml:space="preserve">Not Scheduled</t>
        </is>
      </c>
      <c r="B82" s="12">
        <f>COUNTIFS(tblTasks[Delivery Status],$A82)</f>
      </c>
    </row>
    <row r="85">
      <c r="A85" s="5" t="inlineStr">
        <is>
          <t xml:space="preserve">Week starting (Mon)</t>
        </is>
      </c>
      <c r="B85" s="5">
        <f>Scorecard!$A$12</f>
      </c>
      <c r="C85" s="5">
        <f>Scorecard!$A$13</f>
      </c>
      <c r="D85" s="5">
        <f>Scorecard!$A$14</f>
      </c>
      <c r="E85" s="5">
        <f>Scorecard!$A$15</f>
      </c>
      <c r="F85" s="5">
        <f>Scorecard!$A$16</f>
      </c>
      <c r="G85" s="5" t="inlineStr">
        <is>
          <t xml:space="preserve">Team Total</t>
        </is>
      </c>
    </row>
    <row r="86">
      <c r="A86" s="11">
        <f>TODAY()-WEEKDAY(TODAY(),2)+1-49</f>
      </c>
      <c r="B86" s="60">
        <f>IF(B$85="","",SUMIFS('Daily Log'!$F:$F,'Daily Log'!$C:$C,B$85,'Daily Log'!$A:$A,"&gt;="&amp;$A86,'Daily Log'!$A:$A,"&lt;"&amp;($A86+7)))</f>
      </c>
      <c r="C86" s="60">
        <f>IF(C$85="","",SUMIFS('Daily Log'!$F:$F,'Daily Log'!$C:$C,C$85,'Daily Log'!$A:$A,"&gt;="&amp;$A86,'Daily Log'!$A:$A,"&lt;"&amp;($A86+7)))</f>
      </c>
      <c r="D86" s="60">
        <f>IF(D$85="","",SUMIFS('Daily Log'!$F:$F,'Daily Log'!$C:$C,D$85,'Daily Log'!$A:$A,"&gt;="&amp;$A86,'Daily Log'!$A:$A,"&lt;"&amp;($A86+7)))</f>
      </c>
      <c r="E86" s="60">
        <f>IF(E$85="","",SUMIFS('Daily Log'!$F:$F,'Daily Log'!$C:$C,E$85,'Daily Log'!$A:$A,"&gt;="&amp;$A86,'Daily Log'!$A:$A,"&lt;"&amp;($A86+7)))</f>
      </c>
      <c r="F86" s="60">
        <f>IF(F$85="","",SUMIFS('Daily Log'!$F:$F,'Daily Log'!$C:$C,F$85,'Daily Log'!$A:$A,"&gt;="&amp;$A86,'Daily Log'!$A:$A,"&lt;"&amp;($A86+7)))</f>
      </c>
      <c r="G86" s="60">
        <f>SUMIFS('Daily Log'!$F:$F,'Daily Log'!$A:$A,"&gt;="&amp;$A86,'Daily Log'!$A:$A,"&lt;"&amp;($A86+7))</f>
      </c>
    </row>
    <row r="87">
      <c r="A87" s="11">
        <f>A86+7</f>
      </c>
      <c r="B87" s="60">
        <f>IF(B$85="","",SUMIFS('Daily Log'!$F:$F,'Daily Log'!$C:$C,B$85,'Daily Log'!$A:$A,"&gt;="&amp;$A87,'Daily Log'!$A:$A,"&lt;"&amp;($A87+7)))</f>
      </c>
      <c r="C87" s="60">
        <f>IF(C$85="","",SUMIFS('Daily Log'!$F:$F,'Daily Log'!$C:$C,C$85,'Daily Log'!$A:$A,"&gt;="&amp;$A87,'Daily Log'!$A:$A,"&lt;"&amp;($A87+7)))</f>
      </c>
      <c r="D87" s="60">
        <f>IF(D$85="","",SUMIFS('Daily Log'!$F:$F,'Daily Log'!$C:$C,D$85,'Daily Log'!$A:$A,"&gt;="&amp;$A87,'Daily Log'!$A:$A,"&lt;"&amp;($A87+7)))</f>
      </c>
      <c r="E87" s="60">
        <f>IF(E$85="","",SUMIFS('Daily Log'!$F:$F,'Daily Log'!$C:$C,E$85,'Daily Log'!$A:$A,"&gt;="&amp;$A87,'Daily Log'!$A:$A,"&lt;"&amp;($A87+7)))</f>
      </c>
      <c r="F87" s="60">
        <f>IF(F$85="","",SUMIFS('Daily Log'!$F:$F,'Daily Log'!$C:$C,F$85,'Daily Log'!$A:$A,"&gt;="&amp;$A87,'Daily Log'!$A:$A,"&lt;"&amp;($A87+7)))</f>
      </c>
      <c r="G87" s="60">
        <f>SUMIFS('Daily Log'!$F:$F,'Daily Log'!$A:$A,"&gt;="&amp;$A87,'Daily Log'!$A:$A,"&lt;"&amp;($A87+7))</f>
      </c>
    </row>
    <row r="88">
      <c r="A88" s="11">
        <f>A87+7</f>
      </c>
      <c r="B88" s="60">
        <f>IF(B$85="","",SUMIFS('Daily Log'!$F:$F,'Daily Log'!$C:$C,B$85,'Daily Log'!$A:$A,"&gt;="&amp;$A88,'Daily Log'!$A:$A,"&lt;"&amp;($A88+7)))</f>
      </c>
      <c r="C88" s="60">
        <f>IF(C$85="","",SUMIFS('Daily Log'!$F:$F,'Daily Log'!$C:$C,C$85,'Daily Log'!$A:$A,"&gt;="&amp;$A88,'Daily Log'!$A:$A,"&lt;"&amp;($A88+7)))</f>
      </c>
      <c r="D88" s="60">
        <f>IF(D$85="","",SUMIFS('Daily Log'!$F:$F,'Daily Log'!$C:$C,D$85,'Daily Log'!$A:$A,"&gt;="&amp;$A88,'Daily Log'!$A:$A,"&lt;"&amp;($A88+7)))</f>
      </c>
      <c r="E88" s="60">
        <f>IF(E$85="","",SUMIFS('Daily Log'!$F:$F,'Daily Log'!$C:$C,E$85,'Daily Log'!$A:$A,"&gt;="&amp;$A88,'Daily Log'!$A:$A,"&lt;"&amp;($A88+7)))</f>
      </c>
      <c r="F88" s="60">
        <f>IF(F$85="","",SUMIFS('Daily Log'!$F:$F,'Daily Log'!$C:$C,F$85,'Daily Log'!$A:$A,"&gt;="&amp;$A88,'Daily Log'!$A:$A,"&lt;"&amp;($A88+7)))</f>
      </c>
      <c r="G88" s="60">
        <f>SUMIFS('Daily Log'!$F:$F,'Daily Log'!$A:$A,"&gt;="&amp;$A88,'Daily Log'!$A:$A,"&lt;"&amp;($A88+7))</f>
      </c>
    </row>
    <row r="89">
      <c r="A89" s="11">
        <f>A88+7</f>
      </c>
      <c r="B89" s="60">
        <f>IF(B$85="","",SUMIFS('Daily Log'!$F:$F,'Daily Log'!$C:$C,B$85,'Daily Log'!$A:$A,"&gt;="&amp;$A89,'Daily Log'!$A:$A,"&lt;"&amp;($A89+7)))</f>
      </c>
      <c r="C89" s="60">
        <f>IF(C$85="","",SUMIFS('Daily Log'!$F:$F,'Daily Log'!$C:$C,C$85,'Daily Log'!$A:$A,"&gt;="&amp;$A89,'Daily Log'!$A:$A,"&lt;"&amp;($A89+7)))</f>
      </c>
      <c r="D89" s="60">
        <f>IF(D$85="","",SUMIFS('Daily Log'!$F:$F,'Daily Log'!$C:$C,D$85,'Daily Log'!$A:$A,"&gt;="&amp;$A89,'Daily Log'!$A:$A,"&lt;"&amp;($A89+7)))</f>
      </c>
      <c r="E89" s="60">
        <f>IF(E$85="","",SUMIFS('Daily Log'!$F:$F,'Daily Log'!$C:$C,E$85,'Daily Log'!$A:$A,"&gt;="&amp;$A89,'Daily Log'!$A:$A,"&lt;"&amp;($A89+7)))</f>
      </c>
      <c r="F89" s="60">
        <f>IF(F$85="","",SUMIFS('Daily Log'!$F:$F,'Daily Log'!$C:$C,F$85,'Daily Log'!$A:$A,"&gt;="&amp;$A89,'Daily Log'!$A:$A,"&lt;"&amp;($A89+7)))</f>
      </c>
      <c r="G89" s="60">
        <f>SUMIFS('Daily Log'!$F:$F,'Daily Log'!$A:$A,"&gt;="&amp;$A89,'Daily Log'!$A:$A,"&lt;"&amp;($A89+7))</f>
      </c>
    </row>
    <row r="90">
      <c r="A90" s="11">
        <f>A89+7</f>
      </c>
      <c r="B90" s="60">
        <f>IF(B$85="","",SUMIFS('Daily Log'!$F:$F,'Daily Log'!$C:$C,B$85,'Daily Log'!$A:$A,"&gt;="&amp;$A90,'Daily Log'!$A:$A,"&lt;"&amp;($A90+7)))</f>
      </c>
      <c r="C90" s="60">
        <f>IF(C$85="","",SUMIFS('Daily Log'!$F:$F,'Daily Log'!$C:$C,C$85,'Daily Log'!$A:$A,"&gt;="&amp;$A90,'Daily Log'!$A:$A,"&lt;"&amp;($A90+7)))</f>
      </c>
      <c r="D90" s="60">
        <f>IF(D$85="","",SUMIFS('Daily Log'!$F:$F,'Daily Log'!$C:$C,D$85,'Daily Log'!$A:$A,"&gt;="&amp;$A90,'Daily Log'!$A:$A,"&lt;"&amp;($A90+7)))</f>
      </c>
      <c r="E90" s="60">
        <f>IF(E$85="","",SUMIFS('Daily Log'!$F:$F,'Daily Log'!$C:$C,E$85,'Daily Log'!$A:$A,"&gt;="&amp;$A90,'Daily Log'!$A:$A,"&lt;"&amp;($A90+7)))</f>
      </c>
      <c r="F90" s="60">
        <f>IF(F$85="","",SUMIFS('Daily Log'!$F:$F,'Daily Log'!$C:$C,F$85,'Daily Log'!$A:$A,"&gt;="&amp;$A90,'Daily Log'!$A:$A,"&lt;"&amp;($A90+7)))</f>
      </c>
      <c r="G90" s="60">
        <f>SUMIFS('Daily Log'!$F:$F,'Daily Log'!$A:$A,"&gt;="&amp;$A90,'Daily Log'!$A:$A,"&lt;"&amp;($A90+7))</f>
      </c>
    </row>
    <row r="91">
      <c r="A91" s="11">
        <f>A90+7</f>
      </c>
      <c r="B91" s="60">
        <f>IF(B$85="","",SUMIFS('Daily Log'!$F:$F,'Daily Log'!$C:$C,B$85,'Daily Log'!$A:$A,"&gt;="&amp;$A91,'Daily Log'!$A:$A,"&lt;"&amp;($A91+7)))</f>
      </c>
      <c r="C91" s="60">
        <f>IF(C$85="","",SUMIFS('Daily Log'!$F:$F,'Daily Log'!$C:$C,C$85,'Daily Log'!$A:$A,"&gt;="&amp;$A91,'Daily Log'!$A:$A,"&lt;"&amp;($A91+7)))</f>
      </c>
      <c r="D91" s="60">
        <f>IF(D$85="","",SUMIFS('Daily Log'!$F:$F,'Daily Log'!$C:$C,D$85,'Daily Log'!$A:$A,"&gt;="&amp;$A91,'Daily Log'!$A:$A,"&lt;"&amp;($A91+7)))</f>
      </c>
      <c r="E91" s="60">
        <f>IF(E$85="","",SUMIFS('Daily Log'!$F:$F,'Daily Log'!$C:$C,E$85,'Daily Log'!$A:$A,"&gt;="&amp;$A91,'Daily Log'!$A:$A,"&lt;"&amp;($A91+7)))</f>
      </c>
      <c r="F91" s="60">
        <f>IF(F$85="","",SUMIFS('Daily Log'!$F:$F,'Daily Log'!$C:$C,F$85,'Daily Log'!$A:$A,"&gt;="&amp;$A91,'Daily Log'!$A:$A,"&lt;"&amp;($A91+7)))</f>
      </c>
      <c r="G91" s="60">
        <f>SUMIFS('Daily Log'!$F:$F,'Daily Log'!$A:$A,"&gt;="&amp;$A91,'Daily Log'!$A:$A,"&lt;"&amp;($A91+7))</f>
      </c>
    </row>
    <row r="92">
      <c r="A92" s="11">
        <f>A91+7</f>
      </c>
      <c r="B92" s="60">
        <f>IF(B$85="","",SUMIFS('Daily Log'!$F:$F,'Daily Log'!$C:$C,B$85,'Daily Log'!$A:$A,"&gt;="&amp;$A92,'Daily Log'!$A:$A,"&lt;"&amp;($A92+7)))</f>
      </c>
      <c r="C92" s="60">
        <f>IF(C$85="","",SUMIFS('Daily Log'!$F:$F,'Daily Log'!$C:$C,C$85,'Daily Log'!$A:$A,"&gt;="&amp;$A92,'Daily Log'!$A:$A,"&lt;"&amp;($A92+7)))</f>
      </c>
      <c r="D92" s="60">
        <f>IF(D$85="","",SUMIFS('Daily Log'!$F:$F,'Daily Log'!$C:$C,D$85,'Daily Log'!$A:$A,"&gt;="&amp;$A92,'Daily Log'!$A:$A,"&lt;"&amp;($A92+7)))</f>
      </c>
      <c r="E92" s="60">
        <f>IF(E$85="","",SUMIFS('Daily Log'!$F:$F,'Daily Log'!$C:$C,E$85,'Daily Log'!$A:$A,"&gt;="&amp;$A92,'Daily Log'!$A:$A,"&lt;"&amp;($A92+7)))</f>
      </c>
      <c r="F92" s="60">
        <f>IF(F$85="","",SUMIFS('Daily Log'!$F:$F,'Daily Log'!$C:$C,F$85,'Daily Log'!$A:$A,"&gt;="&amp;$A92,'Daily Log'!$A:$A,"&lt;"&amp;($A92+7)))</f>
      </c>
      <c r="G92" s="60">
        <f>SUMIFS('Daily Log'!$F:$F,'Daily Log'!$A:$A,"&gt;="&amp;$A92,'Daily Log'!$A:$A,"&lt;"&amp;($A92+7))</f>
      </c>
    </row>
    <row r="93">
      <c r="A93" s="11">
        <f>A92+7</f>
      </c>
      <c r="B93" s="60">
        <f>IF(B$85="","",SUMIFS('Daily Log'!$F:$F,'Daily Log'!$C:$C,B$85,'Daily Log'!$A:$A,"&gt;="&amp;$A93,'Daily Log'!$A:$A,"&lt;"&amp;($A93+7)))</f>
      </c>
      <c r="C93" s="60">
        <f>IF(C$85="","",SUMIFS('Daily Log'!$F:$F,'Daily Log'!$C:$C,C$85,'Daily Log'!$A:$A,"&gt;="&amp;$A93,'Daily Log'!$A:$A,"&lt;"&amp;($A93+7)))</f>
      </c>
      <c r="D93" s="60">
        <f>IF(D$85="","",SUMIFS('Daily Log'!$F:$F,'Daily Log'!$C:$C,D$85,'Daily Log'!$A:$A,"&gt;="&amp;$A93,'Daily Log'!$A:$A,"&lt;"&amp;($A93+7)))</f>
      </c>
      <c r="E93" s="60">
        <f>IF(E$85="","",SUMIFS('Daily Log'!$F:$F,'Daily Log'!$C:$C,E$85,'Daily Log'!$A:$A,"&gt;="&amp;$A93,'Daily Log'!$A:$A,"&lt;"&amp;($A93+7)))</f>
      </c>
      <c r="F93" s="60">
        <f>IF(F$85="","",SUMIFS('Daily Log'!$F:$F,'Daily Log'!$C:$C,F$85,'Daily Log'!$A:$A,"&gt;="&amp;$A93,'Daily Log'!$A:$A,"&lt;"&amp;($A93+7)))</f>
      </c>
      <c r="G93" s="60">
        <f>SUMIFS('Daily Log'!$F:$F,'Daily Log'!$A:$A,"&gt;="&amp;$A93,'Daily Log'!$A:$A,"&lt;"&amp;($A93+7))</f>
      </c>
    </row>
    <row r="97">
      <c r="A97" s="5" t="inlineStr">
        <is>
          <t xml:space="preserve">Product / Master Task</t>
        </is>
      </c>
      <c r="B97" s="5" t="inlineStr">
        <is>
          <t xml:space="preserve">Product Line</t>
        </is>
      </c>
      <c r="C97" s="5" t="inlineStr">
        <is>
          <t xml:space="preserve">Tasks</t>
        </is>
      </c>
      <c r="D97" s="5" t="inlineStr">
        <is>
          <t xml:space="preserve">Open</t>
        </is>
      </c>
      <c r="E97" s="5" t="inlineStr">
        <is>
          <t xml:space="preserve">Est. Hours</t>
        </is>
      </c>
      <c r="F97" s="5" t="inlineStr">
        <is>
          <t xml:space="preserve">Hours Logged</t>
        </is>
      </c>
      <c r="G97" s="5" t="inlineStr">
        <is>
          <t xml:space="preserve">Avg Progress %</t>
        </is>
      </c>
    </row>
    <row r="98">
      <c r="A98" s="10"/>
      <c r="B98" s="10"/>
      <c r="C98" s="12">
        <f>IF($A98="","",COUNTIFS('Task Details'!$B:$B,$A98))</f>
      </c>
      <c r="D98" s="12">
        <f>IF($A98="","",C98-COUNTIFS('Task Details'!$B:$B,$A98,'Task Details'!$H:$H,"Done*"))</f>
      </c>
      <c r="E98" s="60">
        <f>IF($A98="","",SUMIFS('Task Details'!$I:$I,'Task Details'!$B:$B,$A98))</f>
      </c>
      <c r="F98" s="60">
        <f>IF($A98="","",SUMIFS('Task Details'!$K:$K,'Task Details'!$B:$B,$A98))</f>
      </c>
      <c r="G98" s="18">
        <f>IF($A98="","",IFERROR(AVERAGEIFS('Task Details'!$J:$J,'Task Details'!$B:$B,$A98)/100,"-"))</f>
      </c>
    </row>
    <row r="99">
      <c r="A99" s="10"/>
      <c r="B99" s="10"/>
      <c r="C99" s="12">
        <f>IF($A99="","",COUNTIFS('Task Details'!$B:$B,$A99))</f>
      </c>
      <c r="D99" s="12">
        <f>IF($A99="","",C99-COUNTIFS('Task Details'!$B:$B,$A99,'Task Details'!$H:$H,"Done*"))</f>
      </c>
      <c r="E99" s="60">
        <f>IF($A99="","",SUMIFS('Task Details'!$I:$I,'Task Details'!$B:$B,$A99))</f>
      </c>
      <c r="F99" s="60">
        <f>IF($A99="","",SUMIFS('Task Details'!$K:$K,'Task Details'!$B:$B,$A99))</f>
      </c>
      <c r="G99" s="18">
        <f>IF($A99="","",IFERROR(AVERAGEIFS('Task Details'!$J:$J,'Task Details'!$B:$B,$A99)/100,"-"))</f>
      </c>
    </row>
    <row r="100">
      <c r="A100" s="10"/>
      <c r="B100" s="10"/>
      <c r="C100" s="12">
        <f>IF($A100="","",COUNTIFS('Task Details'!$B:$B,$A100))</f>
      </c>
      <c r="D100" s="12">
        <f>IF($A100="","",C100-COUNTIFS('Task Details'!$B:$B,$A100,'Task Details'!$H:$H,"Done*"))</f>
      </c>
      <c r="E100" s="60">
        <f>IF($A100="","",SUMIFS('Task Details'!$I:$I,'Task Details'!$B:$B,$A100))</f>
      </c>
      <c r="F100" s="60">
        <f>IF($A100="","",SUMIFS('Task Details'!$K:$K,'Task Details'!$B:$B,$A100))</f>
      </c>
      <c r="G100" s="18">
        <f>IF($A100="","",IFERROR(AVERAGEIFS('Task Details'!$J:$J,'Task Details'!$B:$B,$A100)/100,"-"))</f>
      </c>
    </row>
    <row r="101">
      <c r="A101" s="10"/>
      <c r="B101" s="10"/>
      <c r="C101" s="12">
        <f>IF($A101="","",COUNTIFS('Task Details'!$B:$B,$A101))</f>
      </c>
      <c r="D101" s="12">
        <f>IF($A101="","",C101-COUNTIFS('Task Details'!$B:$B,$A101,'Task Details'!$H:$H,"Done*"))</f>
      </c>
      <c r="E101" s="60">
        <f>IF($A101="","",SUMIFS('Task Details'!$I:$I,'Task Details'!$B:$B,$A101))</f>
      </c>
      <c r="F101" s="60">
        <f>IF($A101="","",SUMIFS('Task Details'!$K:$K,'Task Details'!$B:$B,$A101))</f>
      </c>
      <c r="G101" s="18">
        <f>IF($A101="","",IFERROR(AVERAGEIFS('Task Details'!$J:$J,'Task Details'!$B:$B,$A101)/100,"-"))</f>
      </c>
    </row>
    <row r="102">
      <c r="A102" s="10"/>
      <c r="B102" s="10"/>
      <c r="C102" s="12">
        <f>IF($A102="","",COUNTIFS('Task Details'!$B:$B,$A102))</f>
      </c>
      <c r="D102" s="12">
        <f>IF($A102="","",C102-COUNTIFS('Task Details'!$B:$B,$A102,'Task Details'!$H:$H,"Done*"))</f>
      </c>
      <c r="E102" s="60">
        <f>IF($A102="","",SUMIFS('Task Details'!$I:$I,'Task Details'!$B:$B,$A102))</f>
      </c>
      <c r="F102" s="60">
        <f>IF($A102="","",SUMIFS('Task Details'!$K:$K,'Task Details'!$B:$B,$A102))</f>
      </c>
      <c r="G102" s="18">
        <f>IF($A102="","",IFERROR(AVERAGEIFS('Task Details'!$J:$J,'Task Details'!$B:$B,$A102)/100,"-"))</f>
      </c>
    </row>
    <row r="103">
      <c r="A103" s="10"/>
      <c r="B103" s="10"/>
      <c r="C103" s="12">
        <f>IF($A103="","",COUNTIFS('Task Details'!$B:$B,$A103))</f>
      </c>
      <c r="D103" s="12">
        <f>IF($A103="","",C103-COUNTIFS('Task Details'!$B:$B,$A103,'Task Details'!$H:$H,"Done*"))</f>
      </c>
      <c r="E103" s="60">
        <f>IF($A103="","",SUMIFS('Task Details'!$I:$I,'Task Details'!$B:$B,$A103))</f>
      </c>
      <c r="F103" s="60">
        <f>IF($A103="","",SUMIFS('Task Details'!$K:$K,'Task Details'!$B:$B,$A103))</f>
      </c>
      <c r="G103" s="18">
        <f>IF($A103="","",IFERROR(AVERAGEIFS('Task Details'!$J:$J,'Task Details'!$B:$B,$A103)/100,"-"))</f>
      </c>
    </row>
    <row r="104">
      <c r="A104" s="10"/>
      <c r="B104" s="10"/>
      <c r="C104" s="12">
        <f>IF($A104="","",COUNTIFS('Task Details'!$B:$B,$A104))</f>
      </c>
      <c r="D104" s="12">
        <f>IF($A104="","",C104-COUNTIFS('Task Details'!$B:$B,$A104,'Task Details'!$H:$H,"Done*"))</f>
      </c>
      <c r="E104" s="60">
        <f>IF($A104="","",SUMIFS('Task Details'!$I:$I,'Task Details'!$B:$B,$A104))</f>
      </c>
      <c r="F104" s="60">
        <f>IF($A104="","",SUMIFS('Task Details'!$K:$K,'Task Details'!$B:$B,$A104))</f>
      </c>
      <c r="G104" s="18">
        <f>IF($A104="","",IFERROR(AVERAGEIFS('Task Details'!$J:$J,'Task Details'!$B:$B,$A104)/100,"-"))</f>
      </c>
    </row>
    <row r="105">
      <c r="A105" s="10"/>
      <c r="B105" s="10"/>
      <c r="C105" s="12">
        <f>IF($A105="","",COUNTIFS('Task Details'!$B:$B,$A105))</f>
      </c>
      <c r="D105" s="12">
        <f>IF($A105="","",C105-COUNTIFS('Task Details'!$B:$B,$A105,'Task Details'!$H:$H,"Done*"))</f>
      </c>
      <c r="E105" s="60">
        <f>IF($A105="","",SUMIFS('Task Details'!$I:$I,'Task Details'!$B:$B,$A105))</f>
      </c>
      <c r="F105" s="60">
        <f>IF($A105="","",SUMIFS('Task Details'!$K:$K,'Task Details'!$B:$B,$A105))</f>
      </c>
      <c r="G105" s="18">
        <f>IF($A105="","",IFERROR(AVERAGEIFS('Task Details'!$J:$J,'Task Details'!$B:$B,$A105)/100,"-"))</f>
      </c>
    </row>
    <row r="106">
      <c r="A106" s="10"/>
      <c r="B106" s="10"/>
      <c r="C106" s="12">
        <f>IF($A106="","",COUNTIFS('Task Details'!$B:$B,$A106))</f>
      </c>
      <c r="D106" s="12">
        <f>IF($A106="","",C106-COUNTIFS('Task Details'!$B:$B,$A106,'Task Details'!$H:$H,"Done*"))</f>
      </c>
      <c r="E106" s="60">
        <f>IF($A106="","",SUMIFS('Task Details'!$I:$I,'Task Details'!$B:$B,$A106))</f>
      </c>
      <c r="F106" s="60">
        <f>IF($A106="","",SUMIFS('Task Details'!$K:$K,'Task Details'!$B:$B,$A106))</f>
      </c>
      <c r="G106" s="18">
        <f>IF($A106="","",IFERROR(AVERAGEIFS('Task Details'!$J:$J,'Task Details'!$B:$B,$A106)/100,"-"))</f>
      </c>
    </row>
    <row r="107">
      <c r="A107" s="10"/>
      <c r="B107" s="10"/>
      <c r="C107" s="12">
        <f>IF($A107="","",COUNTIFS('Task Details'!$B:$B,$A107))</f>
      </c>
      <c r="D107" s="12">
        <f>IF($A107="","",C107-COUNTIFS('Task Details'!$B:$B,$A107,'Task Details'!$H:$H,"Done*"))</f>
      </c>
      <c r="E107" s="60">
        <f>IF($A107="","",SUMIFS('Task Details'!$I:$I,'Task Details'!$B:$B,$A107))</f>
      </c>
      <c r="F107" s="60">
        <f>IF($A107="","",SUMIFS('Task Details'!$K:$K,'Task Details'!$B:$B,$A107))</f>
      </c>
      <c r="G107" s="18">
        <f>IF($A107="","",IFERROR(AVERAGEIFS('Task Details'!$J:$J,'Task Details'!$B:$B,$A107)/100,"-"))</f>
      </c>
    </row>
    <row r="108">
      <c r="A108" s="10"/>
      <c r="B108" s="10"/>
      <c r="C108" s="12">
        <f>IF($A108="","",COUNTIFS('Task Details'!$B:$B,$A108))</f>
      </c>
      <c r="D108" s="12">
        <f>IF($A108="","",C108-COUNTIFS('Task Details'!$B:$B,$A108,'Task Details'!$H:$H,"Done*"))</f>
      </c>
      <c r="E108" s="60">
        <f>IF($A108="","",SUMIFS('Task Details'!$I:$I,'Task Details'!$B:$B,$A108))</f>
      </c>
      <c r="F108" s="60">
        <f>IF($A108="","",SUMIFS('Task Details'!$K:$K,'Task Details'!$B:$B,$A108))</f>
      </c>
      <c r="G108" s="18">
        <f>IF($A108="","",IFERROR(AVERAGEIFS('Task Details'!$J:$J,'Task Details'!$B:$B,$A108)/100,"-"))</f>
      </c>
    </row>
    <row r="109">
      <c r="A109" s="10"/>
      <c r="B109" s="10"/>
      <c r="C109" s="12">
        <f>IF($A109="","",COUNTIFS('Task Details'!$B:$B,$A109))</f>
      </c>
      <c r="D109" s="12">
        <f>IF($A109="","",C109-COUNTIFS('Task Details'!$B:$B,$A109,'Task Details'!$H:$H,"Done*"))</f>
      </c>
      <c r="E109" s="60">
        <f>IF($A109="","",SUMIFS('Task Details'!$I:$I,'Task Details'!$B:$B,$A109))</f>
      </c>
      <c r="F109" s="60">
        <f>IF($A109="","",SUMIFS('Task Details'!$K:$K,'Task Details'!$B:$B,$A109))</f>
      </c>
      <c r="G109" s="18">
        <f>IF($A109="","",IFERROR(AVERAGEIFS('Task Details'!$J:$J,'Task Details'!$B:$B,$A109)/100,"-"))</f>
      </c>
    </row>
    <row r="110">
      <c r="A110" s="10"/>
      <c r="B110" s="10"/>
      <c r="C110" s="12">
        <f>IF($A110="","",COUNTIFS('Task Details'!$B:$B,$A110))</f>
      </c>
      <c r="D110" s="12">
        <f>IF($A110="","",C110-COUNTIFS('Task Details'!$B:$B,$A110,'Task Details'!$H:$H,"Done*"))</f>
      </c>
      <c r="E110" s="60">
        <f>IF($A110="","",SUMIFS('Task Details'!$I:$I,'Task Details'!$B:$B,$A110))</f>
      </c>
      <c r="F110" s="60">
        <f>IF($A110="","",SUMIFS('Task Details'!$K:$K,'Task Details'!$B:$B,$A110))</f>
      </c>
      <c r="G110" s="18">
        <f>IF($A110="","",IFERROR(AVERAGEIFS('Task Details'!$J:$J,'Task Details'!$B:$B,$A110)/100,"-"))</f>
      </c>
    </row>
    <row r="111">
      <c r="A111" s="10"/>
      <c r="B111" s="10"/>
      <c r="C111" s="12">
        <f>IF($A111="","",COUNTIFS('Task Details'!$B:$B,$A111))</f>
      </c>
      <c r="D111" s="12">
        <f>IF($A111="","",C111-COUNTIFS('Task Details'!$B:$B,$A111,'Task Details'!$H:$H,"Done*"))</f>
      </c>
      <c r="E111" s="60">
        <f>IF($A111="","",SUMIFS('Task Details'!$I:$I,'Task Details'!$B:$B,$A111))</f>
      </c>
      <c r="F111" s="60">
        <f>IF($A111="","",SUMIFS('Task Details'!$K:$K,'Task Details'!$B:$B,$A111))</f>
      </c>
      <c r="G111" s="18">
        <f>IF($A111="","",IFERROR(AVERAGEIFS('Task Details'!$J:$J,'Task Details'!$B:$B,$A111)/100,"-"))</f>
      </c>
    </row>
    <row r="112">
      <c r="A112" s="10"/>
      <c r="B112" s="10"/>
      <c r="C112" s="12">
        <f>IF($A112="","",COUNTIFS('Task Details'!$B:$B,$A112))</f>
      </c>
      <c r="D112" s="12">
        <f>IF($A112="","",C112-COUNTIFS('Task Details'!$B:$B,$A112,'Task Details'!$H:$H,"Done*"))</f>
      </c>
      <c r="E112" s="60">
        <f>IF($A112="","",SUMIFS('Task Details'!$I:$I,'Task Details'!$B:$B,$A112))</f>
      </c>
      <c r="F112" s="60">
        <f>IF($A112="","",SUMIFS('Task Details'!$K:$K,'Task Details'!$B:$B,$A112))</f>
      </c>
      <c r="G112" s="18">
        <f>IF($A112="","",IFERROR(AVERAGEIFS('Task Details'!$J:$J,'Task Details'!$B:$B,$A112)/100,"-"))</f>
      </c>
    </row>
    <row r="115">
      <c r="A115" s="5" t="inlineStr">
        <is>
          <t xml:space="preserve">Project</t>
        </is>
      </c>
      <c r="B115" s="5" t="inlineStr">
        <is>
          <t xml:space="preserve">Lead PM</t>
        </is>
      </c>
      <c r="C115" s="5" t="inlineStr">
        <is>
          <t xml:space="preserve">Tasks</t>
        </is>
      </c>
      <c r="D115" s="5" t="inlineStr">
        <is>
          <t xml:space="preserve">Open</t>
        </is>
      </c>
      <c r="E115" s="5" t="inlineStr">
        <is>
          <t xml:space="preserve">Completed</t>
        </is>
      </c>
      <c r="F115" s="5" t="inlineStr">
        <is>
          <t xml:space="preserve">Overdue</t>
        </is>
      </c>
      <c r="G115" s="5" t="inlineStr">
        <is>
          <t xml:space="preserve">Est. Hours</t>
        </is>
      </c>
    </row>
    <row r="116">
      <c r="A116" s="10">
        <f>IF(Settings!F5="","",Settings!F5)</f>
      </c>
      <c r="B116" s="10">
        <f>IF($A116="","",Settings!G5&amp;"")</f>
      </c>
      <c r="C116" s="12">
        <f>IF($A116="","",COUNTIFS(tblTasks[Project],$A116))</f>
      </c>
      <c r="D116" s="12">
        <f>IF($A116="","",C116-E116)</f>
      </c>
      <c r="E116" s="12">
        <f>IF($A116="","",COUNTIFS(tblTasks[Project],$A116,tblTasks[Delivery Status],"Done*"))</f>
      </c>
      <c r="F116" s="12">
        <f>IF($A116="","",COUNTIFS(tblTasks[Project],$A116,tblTasks[Delivery Status],"Overdue"))</f>
      </c>
      <c r="G116" s="60">
        <f>IF($A116="","",SUMIFS(tblTasks[Estimated Effort (Hrs)],tblTasks[Project],$A116))</f>
      </c>
    </row>
    <row r="117">
      <c r="A117" s="10">
        <f>IF(Settings!F6="","",Settings!F6)</f>
      </c>
      <c r="B117" s="10">
        <f>IF($A117="","",Settings!G6&amp;"")</f>
      </c>
      <c r="C117" s="12">
        <f>IF($A117="","",COUNTIFS(tblTasks[Project],$A117))</f>
      </c>
      <c r="D117" s="12">
        <f>IF($A117="","",C117-E117)</f>
      </c>
      <c r="E117" s="12">
        <f>IF($A117="","",COUNTIFS(tblTasks[Project],$A117,tblTasks[Delivery Status],"Done*"))</f>
      </c>
      <c r="F117" s="12">
        <f>IF($A117="","",COUNTIFS(tblTasks[Project],$A117,tblTasks[Delivery Status],"Overdue"))</f>
      </c>
      <c r="G117" s="60">
        <f>IF($A117="","",SUMIFS(tblTasks[Estimated Effort (Hrs)],tblTasks[Project],$A117))</f>
      </c>
    </row>
    <row r="118">
      <c r="A118" s="10">
        <f>IF(Settings!F7="","",Settings!F7)</f>
      </c>
      <c r="B118" s="10">
        <f>IF($A118="","",Settings!G7&amp;"")</f>
      </c>
      <c r="C118" s="12">
        <f>IF($A118="","",COUNTIFS(tblTasks[Project],$A118))</f>
      </c>
      <c r="D118" s="12">
        <f>IF($A118="","",C118-E118)</f>
      </c>
      <c r="E118" s="12">
        <f>IF($A118="","",COUNTIFS(tblTasks[Project],$A118,tblTasks[Delivery Status],"Done*"))</f>
      </c>
      <c r="F118" s="12">
        <f>IF($A118="","",COUNTIFS(tblTasks[Project],$A118,tblTasks[Delivery Status],"Overdue"))</f>
      </c>
      <c r="G118" s="60">
        <f>IF($A118="","",SUMIFS(tblTasks[Estimated Effort (Hrs)],tblTasks[Project],$A118))</f>
      </c>
    </row>
    <row r="119">
      <c r="A119" s="10">
        <f>IF(Settings!F8="","",Settings!F8)</f>
      </c>
      <c r="B119" s="10">
        <f>IF($A119="","",Settings!G8&amp;"")</f>
      </c>
      <c r="C119" s="12">
        <f>IF($A119="","",COUNTIFS(tblTasks[Project],$A119))</f>
      </c>
      <c r="D119" s="12">
        <f>IF($A119="","",C119-E119)</f>
      </c>
      <c r="E119" s="12">
        <f>IF($A119="","",COUNTIFS(tblTasks[Project],$A119,tblTasks[Delivery Status],"Done*"))</f>
      </c>
      <c r="F119" s="12">
        <f>IF($A119="","",COUNTIFS(tblTasks[Project],$A119,tblTasks[Delivery Status],"Overdue"))</f>
      </c>
      <c r="G119" s="60">
        <f>IF($A119="","",SUMIFS(tblTasks[Estimated Effort (Hrs)],tblTasks[Project],$A119))</f>
      </c>
    </row>
    <row r="120">
      <c r="A120" s="10">
        <f>IF(Settings!F9="","",Settings!F9)</f>
      </c>
      <c r="B120" s="10">
        <f>IF($A120="","",Settings!G9&amp;"")</f>
      </c>
      <c r="C120" s="12">
        <f>IF($A120="","",COUNTIFS(tblTasks[Project],$A120))</f>
      </c>
      <c r="D120" s="12">
        <f>IF($A120="","",C120-E120)</f>
      </c>
      <c r="E120" s="12">
        <f>IF($A120="","",COUNTIFS(tblTasks[Project],$A120,tblTasks[Delivery Status],"Done*"))</f>
      </c>
      <c r="F120" s="12">
        <f>IF($A120="","",COUNTIFS(tblTasks[Project],$A120,tblTasks[Delivery Status],"Overdue"))</f>
      </c>
      <c r="G120" s="60">
        <f>IF($A120="","",SUMIFS(tblTasks[Estimated Effort (Hrs)],tblTasks[Project],$A120))</f>
      </c>
    </row>
    <row r="121">
      <c r="A121" s="10">
        <f>IF(Settings!F10="","",Settings!F10)</f>
      </c>
      <c r="B121" s="10">
        <f>IF($A121="","",Settings!G10&amp;"")</f>
      </c>
      <c r="C121" s="12">
        <f>IF($A121="","",COUNTIFS(tblTasks[Project],$A121))</f>
      </c>
      <c r="D121" s="12">
        <f>IF($A121="","",C121-E121)</f>
      </c>
      <c r="E121" s="12">
        <f>IF($A121="","",COUNTIFS(tblTasks[Project],$A121,tblTasks[Delivery Status],"Done*"))</f>
      </c>
      <c r="F121" s="12">
        <f>IF($A121="","",COUNTIFS(tblTasks[Project],$A121,tblTasks[Delivery Status],"Overdue"))</f>
      </c>
      <c r="G121" s="60">
        <f>IF($A121="","",SUMIFS(tblTasks[Estimated Effort (Hrs)],tblTasks[Project],$A121))</f>
      </c>
    </row>
    <row r="122">
      <c r="A122" s="10">
        <f>IF(Settings!F11="","",Settings!F11)</f>
      </c>
      <c r="B122" s="10">
        <f>IF($A122="","",Settings!G11&amp;"")</f>
      </c>
      <c r="C122" s="12">
        <f>IF($A122="","",COUNTIFS(tblTasks[Project],$A122))</f>
      </c>
      <c r="D122" s="12">
        <f>IF($A122="","",C122-E122)</f>
      </c>
      <c r="E122" s="12">
        <f>IF($A122="","",COUNTIFS(tblTasks[Project],$A122,tblTasks[Delivery Status],"Done*"))</f>
      </c>
      <c r="F122" s="12">
        <f>IF($A122="","",COUNTIFS(tblTasks[Project],$A122,tblTasks[Delivery Status],"Overdue"))</f>
      </c>
      <c r="G122" s="60">
        <f>IF($A122="","",SUMIFS(tblTasks[Estimated Effort (Hrs)],tblTasks[Project],$A122))</f>
      </c>
    </row>
    <row r="123">
      <c r="A123" s="10">
        <f>IF(Settings!F12="","",Settings!F12)</f>
      </c>
      <c r="B123" s="10">
        <f>IF($A123="","",Settings!G12&amp;"")</f>
      </c>
      <c r="C123" s="12">
        <f>IF($A123="","",COUNTIFS(tblTasks[Project],$A123))</f>
      </c>
      <c r="D123" s="12">
        <f>IF($A123="","",C123-E123)</f>
      </c>
      <c r="E123" s="12">
        <f>IF($A123="","",COUNTIFS(tblTasks[Project],$A123,tblTasks[Delivery Status],"Done*"))</f>
      </c>
      <c r="F123" s="12">
        <f>IF($A123="","",COUNTIFS(tblTasks[Project],$A123,tblTasks[Delivery Status],"Overdue"))</f>
      </c>
      <c r="G123" s="60">
        <f>IF($A123="","",SUMIFS(tblTasks[Estimated Effort (Hrs)],tblTasks[Project],$A123))</f>
      </c>
    </row>
    <row r="124">
      <c r="A124" s="10">
        <f>IF(Settings!F13="","",Settings!F13)</f>
      </c>
      <c r="B124" s="10">
        <f>IF($A124="","",Settings!G13&amp;"")</f>
      </c>
      <c r="C124" s="12">
        <f>IF($A124="","",COUNTIFS(tblTasks[Project],$A124))</f>
      </c>
      <c r="D124" s="12">
        <f>IF($A124="","",C124-E124)</f>
      </c>
      <c r="E124" s="12">
        <f>IF($A124="","",COUNTIFS(tblTasks[Project],$A124,tblTasks[Delivery Status],"Done*"))</f>
      </c>
      <c r="F124" s="12">
        <f>IF($A124="","",COUNTIFS(tblTasks[Project],$A124,tblTasks[Delivery Status],"Overdue"))</f>
      </c>
      <c r="G124" s="60">
        <f>IF($A124="","",SUMIFS(tblTasks[Estimated Effort (Hrs)],tblTasks[Project],$A124))</f>
      </c>
    </row>
    <row r="125">
      <c r="A125" s="10">
        <f>IF(Settings!F14="","",Settings!F14)</f>
      </c>
      <c r="B125" s="10">
        <f>IF($A125="","",Settings!G14&amp;"")</f>
      </c>
      <c r="C125" s="12">
        <f>IF($A125="","",COUNTIFS(tblTasks[Project],$A125))</f>
      </c>
      <c r="D125" s="12">
        <f>IF($A125="","",C125-E125)</f>
      </c>
      <c r="E125" s="12">
        <f>IF($A125="","",COUNTIFS(tblTasks[Project],$A125,tblTasks[Delivery Status],"Done*"))</f>
      </c>
      <c r="F125" s="12">
        <f>IF($A125="","",COUNTIFS(tblTasks[Project],$A125,tblTasks[Delivery Status],"Overdue"))</f>
      </c>
      <c r="G125" s="60">
        <f>IF($A125="","",SUMIFS(tblTasks[Estimated Effort (Hrs)],tblTasks[Project],$A125))</f>
      </c>
    </row>
    <row r="126">
      <c r="A126" s="10">
        <f>IF(Settings!F15="","",Settings!F15)</f>
      </c>
      <c r="B126" s="10">
        <f>IF($A126="","",Settings!G15&amp;"")</f>
      </c>
      <c r="C126" s="12">
        <f>IF($A126="","",COUNTIFS(tblTasks[Project],$A126))</f>
      </c>
      <c r="D126" s="12">
        <f>IF($A126="","",C126-E126)</f>
      </c>
      <c r="E126" s="12">
        <f>IF($A126="","",COUNTIFS(tblTasks[Project],$A126,tblTasks[Delivery Status],"Done*"))</f>
      </c>
      <c r="F126" s="12">
        <f>IF($A126="","",COUNTIFS(tblTasks[Project],$A126,tblTasks[Delivery Status],"Overdue"))</f>
      </c>
      <c r="G126" s="60">
        <f>IF($A126="","",SUMIFS(tblTasks[Estimated Effort (Hrs)],tblTasks[Project],$A126))</f>
      </c>
    </row>
    <row r="127">
      <c r="A127" s="10">
        <f>IF(Settings!F16="","",Settings!F16)</f>
      </c>
      <c r="B127" s="10">
        <f>IF($A127="","",Settings!G16&amp;"")</f>
      </c>
      <c r="C127" s="12">
        <f>IF($A127="","",COUNTIFS(tblTasks[Project],$A127))</f>
      </c>
      <c r="D127" s="12">
        <f>IF($A127="","",C127-E127)</f>
      </c>
      <c r="E127" s="12">
        <f>IF($A127="","",COUNTIFS(tblTasks[Project],$A127,tblTasks[Delivery Status],"Done*"))</f>
      </c>
      <c r="F127" s="12">
        <f>IF($A127="","",COUNTIFS(tblTasks[Project],$A127,tblTasks[Delivery Status],"Overdue"))</f>
      </c>
      <c r="G127" s="60">
        <f>IF($A127="","",SUMIFS(tblTasks[Estimated Effort (Hrs)],tblTasks[Project],$A127))</f>
      </c>
    </row>
    <row r="128">
      <c r="A128" s="10">
        <f>IF(Settings!F17="","",Settings!F17)</f>
      </c>
      <c r="B128" s="10">
        <f>IF($A128="","",Settings!G17&amp;"")</f>
      </c>
      <c r="C128" s="12">
        <f>IF($A128="","",COUNTIFS(tblTasks[Project],$A128))</f>
      </c>
      <c r="D128" s="12">
        <f>IF($A128="","",C128-E128)</f>
      </c>
      <c r="E128" s="12">
        <f>IF($A128="","",COUNTIFS(tblTasks[Project],$A128,tblTasks[Delivery Status],"Done*"))</f>
      </c>
      <c r="F128" s="12">
        <f>IF($A128="","",COUNTIFS(tblTasks[Project],$A128,tblTasks[Delivery Status],"Overdue"))</f>
      </c>
      <c r="G128" s="60">
        <f>IF($A128="","",SUMIFS(tblTasks[Estimated Effort (Hrs)],tblTasks[Project],$A128))</f>
      </c>
    </row>
    <row r="129">
      <c r="A129" s="10">
        <f>IF(Settings!F18="","",Settings!F18)</f>
      </c>
      <c r="B129" s="10">
        <f>IF($A129="","",Settings!G18&amp;"")</f>
      </c>
      <c r="C129" s="12">
        <f>IF($A129="","",COUNTIFS(tblTasks[Project],$A129))</f>
      </c>
      <c r="D129" s="12">
        <f>IF($A129="","",C129-E129)</f>
      </c>
      <c r="E129" s="12">
        <f>IF($A129="","",COUNTIFS(tblTasks[Project],$A129,tblTasks[Delivery Status],"Done*"))</f>
      </c>
      <c r="F129" s="12">
        <f>IF($A129="","",COUNTIFS(tblTasks[Project],$A129,tblTasks[Delivery Status],"Overdue"))</f>
      </c>
      <c r="G129" s="60">
        <f>IF($A129="","",SUMIFS(tblTasks[Estimated Effort (Hrs)],tblTasks[Project],$A129))</f>
      </c>
    </row>
    <row r="130">
      <c r="A130" s="10">
        <f>IF(Settings!F19="","",Settings!F19)</f>
      </c>
      <c r="B130" s="10">
        <f>IF($A130="","",Settings!G19&amp;"")</f>
      </c>
      <c r="C130" s="12">
        <f>IF($A130="","",COUNTIFS(tblTasks[Project],$A130))</f>
      </c>
      <c r="D130" s="12">
        <f>IF($A130="","",C130-E130)</f>
      </c>
      <c r="E130" s="12">
        <f>IF($A130="","",COUNTIFS(tblTasks[Project],$A130,tblTasks[Delivery Status],"Done*"))</f>
      </c>
      <c r="F130" s="12">
        <f>IF($A130="","",COUNTIFS(tblTasks[Project],$A130,tblTasks[Delivery Status],"Overdue"))</f>
      </c>
      <c r="G130" s="60">
        <f>IF($A130="","",SUMIFS(tblTasks[Estimated Effort (Hrs)],tblTasks[Project],$A130))</f>
      </c>
    </row>
    <row r="131">
      <c r="A131" s="10">
        <f>IF(Settings!F20="","",Settings!F20)</f>
      </c>
      <c r="B131" s="10">
        <f>IF($A131="","",Settings!G20&amp;"")</f>
      </c>
      <c r="C131" s="12">
        <f>IF($A131="","",COUNTIFS(tblTasks[Project],$A131))</f>
      </c>
      <c r="D131" s="12">
        <f>IF($A131="","",C131-E131)</f>
      </c>
      <c r="E131" s="12">
        <f>IF($A131="","",COUNTIFS(tblTasks[Project],$A131,tblTasks[Delivery Status],"Done*"))</f>
      </c>
      <c r="F131" s="12">
        <f>IF($A131="","",COUNTIFS(tblTasks[Project],$A131,tblTasks[Delivery Status],"Overdue"))</f>
      </c>
      <c r="G131" s="60">
        <f>IF($A131="","",SUMIFS(tblTasks[Estimated Effort (Hrs)],tblTasks[Project],$A131))</f>
      </c>
    </row>
    <row r="132">
      <c r="A132" s="10">
        <f>IF(Settings!F21="","",Settings!F21)</f>
      </c>
      <c r="B132" s="10">
        <f>IF($A132="","",Settings!G21&amp;"")</f>
      </c>
      <c r="C132" s="12">
        <f>IF($A132="","",COUNTIFS(tblTasks[Project],$A132))</f>
      </c>
      <c r="D132" s="12">
        <f>IF($A132="","",C132-E132)</f>
      </c>
      <c r="E132" s="12">
        <f>IF($A132="","",COUNTIFS(tblTasks[Project],$A132,tblTasks[Delivery Status],"Done*"))</f>
      </c>
      <c r="F132" s="12">
        <f>IF($A132="","",COUNTIFS(tblTasks[Project],$A132,tblTasks[Delivery Status],"Overdue"))</f>
      </c>
      <c r="G132" s="60">
        <f>IF($A132="","",SUMIFS(tblTasks[Estimated Effort (Hrs)],tblTasks[Project],$A132))</f>
      </c>
    </row>
    <row r="133">
      <c r="A133" s="10">
        <f>IF(Settings!F22="","",Settings!F22)</f>
      </c>
      <c r="B133" s="10">
        <f>IF($A133="","",Settings!G22&amp;"")</f>
      </c>
      <c r="C133" s="12">
        <f>IF($A133="","",COUNTIFS(tblTasks[Project],$A133))</f>
      </c>
      <c r="D133" s="12">
        <f>IF($A133="","",C133-E133)</f>
      </c>
      <c r="E133" s="12">
        <f>IF($A133="","",COUNTIFS(tblTasks[Project],$A133,tblTasks[Delivery Status],"Done*"))</f>
      </c>
      <c r="F133" s="12">
        <f>IF($A133="","",COUNTIFS(tblTasks[Project],$A133,tblTasks[Delivery Status],"Overdue"))</f>
      </c>
      <c r="G133" s="60">
        <f>IF($A133="","",SUMIFS(tblTasks[Estimated Effort (Hrs)],tblTasks[Project],$A133))</f>
      </c>
    </row>
    <row r="134">
      <c r="A134" s="10">
        <f>IF(Settings!F23="","",Settings!F23)</f>
      </c>
      <c r="B134" s="10">
        <f>IF($A134="","",Settings!G23&amp;"")</f>
      </c>
      <c r="C134" s="12">
        <f>IF($A134="","",COUNTIFS(tblTasks[Project],$A134))</f>
      </c>
      <c r="D134" s="12">
        <f>IF($A134="","",C134-E134)</f>
      </c>
      <c r="E134" s="12">
        <f>IF($A134="","",COUNTIFS(tblTasks[Project],$A134,tblTasks[Delivery Status],"Done*"))</f>
      </c>
      <c r="F134" s="12">
        <f>IF($A134="","",COUNTIFS(tblTasks[Project],$A134,tblTasks[Delivery Status],"Overdue"))</f>
      </c>
      <c r="G134" s="60">
        <f>IF($A134="","",SUMIFS(tblTasks[Estimated Effort (Hrs)],tblTasks[Project],$A134))</f>
      </c>
    </row>
    <row r="135">
      <c r="A135" s="10">
        <f>IF(Settings!F24="","",Settings!F24)</f>
      </c>
      <c r="B135" s="10">
        <f>IF($A135="","",Settings!G24&amp;"")</f>
      </c>
      <c r="C135" s="12">
        <f>IF($A135="","",COUNTIFS(tblTasks[Project],$A135))</f>
      </c>
      <c r="D135" s="12">
        <f>IF($A135="","",C135-E135)</f>
      </c>
      <c r="E135" s="12">
        <f>IF($A135="","",COUNTIFS(tblTasks[Project],$A135,tblTasks[Delivery Status],"Done*"))</f>
      </c>
      <c r="F135" s="12">
        <f>IF($A135="","",COUNTIFS(tblTasks[Project],$A135,tblTasks[Delivery Status],"Overdue"))</f>
      </c>
      <c r="G135" s="60">
        <f>IF($A135="","",SUMIFS(tblTasks[Estimated Effort (Hrs)],tblTasks[Project],$A135))</f>
      </c>
    </row>
    <row r="136">
      <c r="A136" s="10">
        <f>IF(Settings!F25="","",Settings!F25)</f>
      </c>
      <c r="B136" s="10">
        <f>IF($A136="","",Settings!G25&amp;"")</f>
      </c>
      <c r="C136" s="12">
        <f>IF($A136="","",COUNTIFS(tblTasks[Project],$A136))</f>
      </c>
      <c r="D136" s="12">
        <f>IF($A136="","",C136-E136)</f>
      </c>
      <c r="E136" s="12">
        <f>IF($A136="","",COUNTIFS(tblTasks[Project],$A136,tblTasks[Delivery Status],"Done*"))</f>
      </c>
      <c r="F136" s="12">
        <f>IF($A136="","",COUNTIFS(tblTasks[Project],$A136,tblTasks[Delivery Status],"Overdue"))</f>
      </c>
      <c r="G136" s="60">
        <f>IF($A136="","",SUMIFS(tblTasks[Estimated Effort (Hrs)],tblTasks[Project],$A136))</f>
      </c>
    </row>
    <row r="137">
      <c r="A137" s="10">
        <f>IF(Settings!F26="","",Settings!F26)</f>
      </c>
      <c r="B137" s="10">
        <f>IF($A137="","",Settings!G26&amp;"")</f>
      </c>
      <c r="C137" s="12">
        <f>IF($A137="","",COUNTIFS(tblTasks[Project],$A137))</f>
      </c>
      <c r="D137" s="12">
        <f>IF($A137="","",C137-E137)</f>
      </c>
      <c r="E137" s="12">
        <f>IF($A137="","",COUNTIFS(tblTasks[Project],$A137,tblTasks[Delivery Status],"Done*"))</f>
      </c>
      <c r="F137" s="12">
        <f>IF($A137="","",COUNTIFS(tblTasks[Project],$A137,tblTasks[Delivery Status],"Overdue"))</f>
      </c>
      <c r="G137" s="60">
        <f>IF($A137="","",SUMIFS(tblTasks[Estimated Effort (Hrs)],tblTasks[Project],$A137))</f>
      </c>
    </row>
    <row r="138">
      <c r="A138" s="10">
        <f>IF(Settings!F27="","",Settings!F27)</f>
      </c>
      <c r="B138" s="10">
        <f>IF($A138="","",Settings!G27&amp;"")</f>
      </c>
      <c r="C138" s="12">
        <f>IF($A138="","",COUNTIFS(tblTasks[Project],$A138))</f>
      </c>
      <c r="D138" s="12">
        <f>IF($A138="","",C138-E138)</f>
      </c>
      <c r="E138" s="12">
        <f>IF($A138="","",COUNTIFS(tblTasks[Project],$A138,tblTasks[Delivery Status],"Done*"))</f>
      </c>
      <c r="F138" s="12">
        <f>IF($A138="","",COUNTIFS(tblTasks[Project],$A138,tblTasks[Delivery Status],"Overdue"))</f>
      </c>
      <c r="G138" s="60">
        <f>IF($A138="","",SUMIFS(tblTasks[Estimated Effort (Hrs)],tblTasks[Project],$A138))</f>
      </c>
    </row>
    <row r="139">
      <c r="A139" s="10">
        <f>IF(Settings!F28="","",Settings!F28)</f>
      </c>
      <c r="B139" s="10">
        <f>IF($A139="","",Settings!G28&amp;"")</f>
      </c>
      <c r="C139" s="12">
        <f>IF($A139="","",COUNTIFS(tblTasks[Project],$A139))</f>
      </c>
      <c r="D139" s="12">
        <f>IF($A139="","",C139-E139)</f>
      </c>
      <c r="E139" s="12">
        <f>IF($A139="","",COUNTIFS(tblTasks[Project],$A139,tblTasks[Delivery Status],"Done*"))</f>
      </c>
      <c r="F139" s="12">
        <f>IF($A139="","",COUNTIFS(tblTasks[Project],$A139,tblTasks[Delivery Status],"Overdue"))</f>
      </c>
      <c r="G139" s="60">
        <f>IF($A139="","",SUMIFS(tblTasks[Estimated Effort (Hrs)],tblTasks[Project],$A139))</f>
      </c>
    </row>
    <row r="140">
      <c r="A140" s="10">
        <f>IF(Settings!F29="","",Settings!F29)</f>
      </c>
      <c r="B140" s="10">
        <f>IF($A140="","",Settings!G29&amp;"")</f>
      </c>
      <c r="C140" s="12">
        <f>IF($A140="","",COUNTIFS(tblTasks[Project],$A140))</f>
      </c>
      <c r="D140" s="12">
        <f>IF($A140="","",C140-E140)</f>
      </c>
      <c r="E140" s="12">
        <f>IF($A140="","",COUNTIFS(tblTasks[Project],$A140,tblTasks[Delivery Status],"Done*"))</f>
      </c>
      <c r="F140" s="12">
        <f>IF($A140="","",COUNTIFS(tblTasks[Project],$A140,tblTasks[Delivery Status],"Overdue"))</f>
      </c>
      <c r="G140" s="60">
        <f>IF($A140="","",SUMIFS(tblTasks[Estimated Effort (Hrs)],tblTasks[Project],$A140))</f>
      </c>
    </row>
    <row r="141">
      <c r="A141" s="10">
        <f>IF(Settings!F30="","",Settings!F30)</f>
      </c>
      <c r="B141" s="10">
        <f>IF($A141="","",Settings!G30&amp;"")</f>
      </c>
      <c r="C141" s="12">
        <f>IF($A141="","",COUNTIFS(tblTasks[Project],$A141))</f>
      </c>
      <c r="D141" s="12">
        <f>IF($A141="","",C141-E141)</f>
      </c>
      <c r="E141" s="12">
        <f>IF($A141="","",COUNTIFS(tblTasks[Project],$A141,tblTasks[Delivery Status],"Done*"))</f>
      </c>
      <c r="F141" s="12">
        <f>IF($A141="","",COUNTIFS(tblTasks[Project],$A141,tblTasks[Delivery Status],"Overdue"))</f>
      </c>
      <c r="G141" s="60">
        <f>IF($A141="","",SUMIFS(tblTasks[Estimated Effort (Hrs)],tblTasks[Project],$A141))</f>
      </c>
    </row>
    <row r="142">
      <c r="A142" s="10">
        <f>IF(Settings!F31="","",Settings!F31)</f>
      </c>
      <c r="B142" s="10">
        <f>IF($A142="","",Settings!G31&amp;"")</f>
      </c>
      <c r="C142" s="12">
        <f>IF($A142="","",COUNTIFS(tblTasks[Project],$A142))</f>
      </c>
      <c r="D142" s="12">
        <f>IF($A142="","",C142-E142)</f>
      </c>
      <c r="E142" s="12">
        <f>IF($A142="","",COUNTIFS(tblTasks[Project],$A142,tblTasks[Delivery Status],"Done*"))</f>
      </c>
      <c r="F142" s="12">
        <f>IF($A142="","",COUNTIFS(tblTasks[Project],$A142,tblTasks[Delivery Status],"Overdue"))</f>
      </c>
      <c r="G142" s="60">
        <f>IF($A142="","",SUMIFS(tblTasks[Estimated Effort (Hrs)],tblTasks[Project],$A142))</f>
      </c>
    </row>
    <row r="143">
      <c r="A143" s="10">
        <f>IF(Settings!F32="","",Settings!F32)</f>
      </c>
      <c r="B143" s="10">
        <f>IF($A143="","",Settings!G32&amp;"")</f>
      </c>
      <c r="C143" s="12">
        <f>IF($A143="","",COUNTIFS(tblTasks[Project],$A143))</f>
      </c>
      <c r="D143" s="12">
        <f>IF($A143="","",C143-E143)</f>
      </c>
      <c r="E143" s="12">
        <f>IF($A143="","",COUNTIFS(tblTasks[Project],$A143,tblTasks[Delivery Status],"Done*"))</f>
      </c>
      <c r="F143" s="12">
        <f>IF($A143="","",COUNTIFS(tblTasks[Project],$A143,tblTasks[Delivery Status],"Overdue"))</f>
      </c>
      <c r="G143" s="60">
        <f>IF($A143="","",SUMIFS(tblTasks[Estimated Effort (Hrs)],tblTasks[Project],$A143))</f>
      </c>
    </row>
    <row r="144">
      <c r="A144" s="10">
        <f>IF(Settings!F33="","",Settings!F33)</f>
      </c>
      <c r="B144" s="10">
        <f>IF($A144="","",Settings!G33&amp;"")</f>
      </c>
      <c r="C144" s="12">
        <f>IF($A144="","",COUNTIFS(tblTasks[Project],$A144))</f>
      </c>
      <c r="D144" s="12">
        <f>IF($A144="","",C144-E144)</f>
      </c>
      <c r="E144" s="12">
        <f>IF($A144="","",COUNTIFS(tblTasks[Project],$A144,tblTasks[Delivery Status],"Done*"))</f>
      </c>
      <c r="F144" s="12">
        <f>IF($A144="","",COUNTIFS(tblTasks[Project],$A144,tblTasks[Delivery Status],"Overdue"))</f>
      </c>
      <c r="G144" s="60">
        <f>IF($A144="","",SUMIFS(tblTasks[Estimated Effort (Hrs)],tblTasks[Project],$A144))</f>
      </c>
    </row>
    <row r="145">
      <c r="A145" s="10">
        <f>IF(Settings!F34="","",Settings!F34)</f>
      </c>
      <c r="B145" s="10">
        <f>IF($A145="","",Settings!G34&amp;"")</f>
      </c>
      <c r="C145" s="12">
        <f>IF($A145="","",COUNTIFS(tblTasks[Project],$A145))</f>
      </c>
      <c r="D145" s="12">
        <f>IF($A145="","",C145-E145)</f>
      </c>
      <c r="E145" s="12">
        <f>IF($A145="","",COUNTIFS(tblTasks[Project],$A145,tblTasks[Delivery Status],"Done*"))</f>
      </c>
      <c r="F145" s="12">
        <f>IF($A145="","",COUNTIFS(tblTasks[Project],$A145,tblTasks[Delivery Status],"Overdue"))</f>
      </c>
      <c r="G145" s="60">
        <f>IF($A145="","",SUMIFS(tblTasks[Estimated Effort (Hrs)],tblTasks[Project],$A145))</f>
      </c>
    </row>
    <row r="148">
      <c r="A148" s="5" t="inlineStr">
        <is>
          <t xml:space="preserve">Request Funnel</t>
        </is>
      </c>
      <c r="B148" s="5" t="inlineStr">
        <is>
          <t xml:space="preserve">Subtasks</t>
        </is>
      </c>
    </row>
    <row r="149">
      <c r="A149" s="10" t="inlineStr">
        <is>
          <t xml:space="preserve">Awaiting approval</t>
        </is>
      </c>
      <c r="B149" s="12">
        <f>COUNTIFS('Task Funnel'!$O:$O,$A149)</f>
      </c>
    </row>
    <row r="150">
      <c r="A150" s="10" t="inlineStr">
        <is>
          <t xml:space="preserve">Changes requested</t>
        </is>
      </c>
      <c r="B150" s="12">
        <f>COUNTIFS('Task Funnel'!$O:$O,$A150)</f>
      </c>
    </row>
    <row r="151">
      <c r="A151" s="10" t="inlineStr">
        <is>
          <t xml:space="preserve">Approved</t>
        </is>
      </c>
      <c r="B151" s="12">
        <f>COUNTIFS('Task Funnel'!$O:$O,$A151)</f>
      </c>
    </row>
    <row r="152">
      <c r="A152" s="10" t="inlineStr">
        <is>
          <t xml:space="preserve">Rejected</t>
        </is>
      </c>
      <c r="B152" s="12">
        <f>COUNTIFS('Task Funnel'!$O:$O,$A152)</f>
      </c>
    </row>
    <row r="154">
      <c r="A154" s="5" t="inlineStr">
        <is>
          <t xml:space="preserve">4E Line</t>
        </is>
      </c>
      <c r="B154" s="5" t="inlineStr">
        <is>
          <t xml:space="preserve">Tasks</t>
        </is>
      </c>
      <c r="C154" s="5" t="inlineStr">
        <is>
          <t xml:space="preserve">Open</t>
        </is>
      </c>
      <c r="D154" s="5" t="inlineStr">
        <is>
          <t xml:space="preserve">Est. Hours</t>
        </is>
      </c>
      <c r="E154" s="5" t="inlineStr">
        <is>
          <t xml:space="preserve">Hours Logged</t>
        </is>
      </c>
    </row>
    <row r="155">
      <c r="A155" s="10" t="inlineStr">
        <is>
          <t xml:space="preserve">Evaluate</t>
        </is>
      </c>
      <c r="B155" s="12">
        <f>COUNTIFS('Task Details'!$Q:$Q,$A155)</f>
      </c>
      <c r="C155" s="12">
        <f>B155-COUNTIFS('Task Details'!$Q:$Q,$A155,'Task Details'!$H:$H,"Done*")</f>
      </c>
      <c r="D155" s="60">
        <f>SUMIFS('Task Details'!$I:$I,'Task Details'!$Q:$Q,$A155)</f>
      </c>
      <c r="E155" s="60">
        <f>SUMIFS('Task Details'!$K:$K,'Task Details'!$Q:$Q,$A155)</f>
      </c>
    </row>
    <row r="156">
      <c r="A156" s="10" t="inlineStr">
        <is>
          <t xml:space="preserve">Educate</t>
        </is>
      </c>
      <c r="B156" s="12">
        <f>COUNTIFS('Task Details'!$Q:$Q,$A156)</f>
      </c>
      <c r="C156" s="12">
        <f>B156-COUNTIFS('Task Details'!$Q:$Q,$A156,'Task Details'!$H:$H,"Done*")</f>
      </c>
      <c r="D156" s="60">
        <f>SUMIFS('Task Details'!$I:$I,'Task Details'!$Q:$Q,$A156)</f>
      </c>
      <c r="E156" s="60">
        <f>SUMIFS('Task Details'!$K:$K,'Task Details'!$Q:$Q,$A156)</f>
      </c>
    </row>
    <row r="157">
      <c r="A157" s="10" t="inlineStr">
        <is>
          <t xml:space="preserve">Experience</t>
        </is>
      </c>
      <c r="B157" s="12">
        <f>COUNTIFS('Task Details'!$Q:$Q,$A157)</f>
      </c>
      <c r="C157" s="12">
        <f>B157-COUNTIFS('Task Details'!$Q:$Q,$A157,'Task Details'!$H:$H,"Done*")</f>
      </c>
      <c r="D157" s="60">
        <f>SUMIFS('Task Details'!$I:$I,'Task Details'!$Q:$Q,$A157)</f>
      </c>
      <c r="E157" s="60">
        <f>SUMIFS('Task Details'!$K:$K,'Task Details'!$Q:$Q,$A157)</f>
      </c>
    </row>
    <row r="158">
      <c r="A158" s="10" t="inlineStr">
        <is>
          <t xml:space="preserve">Enable</t>
        </is>
      </c>
      <c r="B158" s="12">
        <f>COUNTIFS('Task Details'!$Q:$Q,$A158)</f>
      </c>
      <c r="C158" s="12">
        <f>B158-COUNTIFS('Task Details'!$Q:$Q,$A158,'Task Details'!$H:$H,"Done*")</f>
      </c>
      <c r="D158" s="60">
        <f>SUMIFS('Task Details'!$I:$I,'Task Details'!$Q:$Q,$A158)</f>
      </c>
      <c r="E158" s="60">
        <f>SUMIFS('Task Details'!$K:$K,'Task Details'!$Q:$Q,$A158)</f>
      </c>
    </row>
    <row r="159">
      <c r="A159" s="10" t="inlineStr">
        <is>
          <t xml:space="preserve">GENIE Platform</t>
        </is>
      </c>
      <c r="B159" s="12">
        <f>COUNTIFS('Task Details'!$Q:$Q,$A159)</f>
      </c>
      <c r="C159" s="12">
        <f>B159-COUNTIFS('Task Details'!$Q:$Q,$A159,'Task Details'!$H:$H,"Done*")</f>
      </c>
      <c r="D159" s="60">
        <f>SUMIFS('Task Details'!$I:$I,'Task Details'!$Q:$Q,$A159)</f>
      </c>
      <c r="E159" s="60">
        <f>SUMIFS('Task Details'!$K:$K,'Task Details'!$Q:$Q,$A159)</f>
      </c>
    </row>
    <row r="160">
      <c r="A160" s="10" t="inlineStr">
        <is>
          <t xml:space="preserve">Other</t>
        </is>
      </c>
      <c r="B160" s="12">
        <f>COUNTIFS('Task Details'!$Q:$Q,$A160)</f>
      </c>
      <c r="C160" s="12">
        <f>B160-COUNTIFS('Task Details'!$Q:$Q,$A160,'Task Details'!$H:$H,"Done*")</f>
      </c>
      <c r="D160" s="60">
        <f>SUMIFS('Task Details'!$I:$I,'Task Details'!$Q:$Q,$A160)</f>
      </c>
      <c r="E160" s="60">
        <f>SUMIFS('Task Details'!$K:$K,'Task Details'!$Q:$Q,$A160)</f>
      </c>
    </row>
    <row r="163">
      <c r="A163" s="5" t="inlineStr">
        <is>
          <t xml:space="preserve">Deliverables done, week of</t>
        </is>
      </c>
      <c r="B163" s="5">
        <f>Scorecard!$A$12</f>
      </c>
      <c r="C163" s="5">
        <f>Scorecard!$A$13</f>
      </c>
      <c r="D163" s="5">
        <f>Scorecard!$A$14</f>
      </c>
      <c r="E163" s="5">
        <f>Scorecard!$A$15</f>
      </c>
      <c r="F163" s="5">
        <f>Scorecard!$A$16</f>
      </c>
      <c r="G163" s="5" t="inlineStr">
        <is>
          <t xml:space="preserve">Team Total</t>
        </is>
      </c>
    </row>
    <row r="164">
      <c r="A164" s="11">
        <f>$A$86</f>
      </c>
      <c r="B164" s="12">
        <f>IF(B$163="","",COUNTIFS('Deliverables'!$B:$B,B$163,'Deliverables'!$H:$H,"Done",'Deliverables'!$I:$I,"&gt;="&amp;$A164,'Deliverables'!$I:$I,"&lt;"&amp;($A164+7)))</f>
      </c>
      <c r="C164" s="12">
        <f>IF(C$163="","",COUNTIFS('Deliverables'!$B:$B,C$163,'Deliverables'!$H:$H,"Done",'Deliverables'!$I:$I,"&gt;="&amp;$A164,'Deliverables'!$I:$I,"&lt;"&amp;($A164+7)))</f>
      </c>
      <c r="D164" s="12">
        <f>IF(D$163="","",COUNTIFS('Deliverables'!$B:$B,D$163,'Deliverables'!$H:$H,"Done",'Deliverables'!$I:$I,"&gt;="&amp;$A164,'Deliverables'!$I:$I,"&lt;"&amp;($A164+7)))</f>
      </c>
      <c r="E164" s="12">
        <f>IF(E$163="","",COUNTIFS('Deliverables'!$B:$B,E$163,'Deliverables'!$H:$H,"Done",'Deliverables'!$I:$I,"&gt;="&amp;$A164,'Deliverables'!$I:$I,"&lt;"&amp;($A164+7)))</f>
      </c>
      <c r="F164" s="12">
        <f>IF(F$163="","",COUNTIFS('Deliverables'!$B:$B,F$163,'Deliverables'!$H:$H,"Done",'Deliverables'!$I:$I,"&gt;="&amp;$A164,'Deliverables'!$I:$I,"&lt;"&amp;($A164+7)))</f>
      </c>
      <c r="G164" s="12">
        <f>COUNTIFS('Deliverables'!$H:$H,"Done",'Deliverables'!$I:$I,"&gt;="&amp;$A164,'Deliverables'!$I:$I,"&lt;"&amp;($A164+7))</f>
      </c>
    </row>
    <row r="165">
      <c r="A165" s="11">
        <f>$A$87</f>
      </c>
      <c r="B165" s="12">
        <f>IF(B$163="","",COUNTIFS('Deliverables'!$B:$B,B$163,'Deliverables'!$H:$H,"Done",'Deliverables'!$I:$I,"&gt;="&amp;$A165,'Deliverables'!$I:$I,"&lt;"&amp;($A165+7)))</f>
      </c>
      <c r="C165" s="12">
        <f>IF(C$163="","",COUNTIFS('Deliverables'!$B:$B,C$163,'Deliverables'!$H:$H,"Done",'Deliverables'!$I:$I,"&gt;="&amp;$A165,'Deliverables'!$I:$I,"&lt;"&amp;($A165+7)))</f>
      </c>
      <c r="D165" s="12">
        <f>IF(D$163="","",COUNTIFS('Deliverables'!$B:$B,D$163,'Deliverables'!$H:$H,"Done",'Deliverables'!$I:$I,"&gt;="&amp;$A165,'Deliverables'!$I:$I,"&lt;"&amp;($A165+7)))</f>
      </c>
      <c r="E165" s="12">
        <f>IF(E$163="","",COUNTIFS('Deliverables'!$B:$B,E$163,'Deliverables'!$H:$H,"Done",'Deliverables'!$I:$I,"&gt;="&amp;$A165,'Deliverables'!$I:$I,"&lt;"&amp;($A165+7)))</f>
      </c>
      <c r="F165" s="12">
        <f>IF(F$163="","",COUNTIFS('Deliverables'!$B:$B,F$163,'Deliverables'!$H:$H,"Done",'Deliverables'!$I:$I,"&gt;="&amp;$A165,'Deliverables'!$I:$I,"&lt;"&amp;($A165+7)))</f>
      </c>
      <c r="G165" s="12">
        <f>COUNTIFS('Deliverables'!$H:$H,"Done",'Deliverables'!$I:$I,"&gt;="&amp;$A165,'Deliverables'!$I:$I,"&lt;"&amp;($A165+7))</f>
      </c>
    </row>
    <row r="166">
      <c r="A166" s="11">
        <f>$A$88</f>
      </c>
      <c r="B166" s="12">
        <f>IF(B$163="","",COUNTIFS('Deliverables'!$B:$B,B$163,'Deliverables'!$H:$H,"Done",'Deliverables'!$I:$I,"&gt;="&amp;$A166,'Deliverables'!$I:$I,"&lt;"&amp;($A166+7)))</f>
      </c>
      <c r="C166" s="12">
        <f>IF(C$163="","",COUNTIFS('Deliverables'!$B:$B,C$163,'Deliverables'!$H:$H,"Done",'Deliverables'!$I:$I,"&gt;="&amp;$A166,'Deliverables'!$I:$I,"&lt;"&amp;($A166+7)))</f>
      </c>
      <c r="D166" s="12">
        <f>IF(D$163="","",COUNTIFS('Deliverables'!$B:$B,D$163,'Deliverables'!$H:$H,"Done",'Deliverables'!$I:$I,"&gt;="&amp;$A166,'Deliverables'!$I:$I,"&lt;"&amp;($A166+7)))</f>
      </c>
      <c r="E166" s="12">
        <f>IF(E$163="","",COUNTIFS('Deliverables'!$B:$B,E$163,'Deliverables'!$H:$H,"Done",'Deliverables'!$I:$I,"&gt;="&amp;$A166,'Deliverables'!$I:$I,"&lt;"&amp;($A166+7)))</f>
      </c>
      <c r="F166" s="12">
        <f>IF(F$163="","",COUNTIFS('Deliverables'!$B:$B,F$163,'Deliverables'!$H:$H,"Done",'Deliverables'!$I:$I,"&gt;="&amp;$A166,'Deliverables'!$I:$I,"&lt;"&amp;($A166+7)))</f>
      </c>
      <c r="G166" s="12">
        <f>COUNTIFS('Deliverables'!$H:$H,"Done",'Deliverables'!$I:$I,"&gt;="&amp;$A166,'Deliverables'!$I:$I,"&lt;"&amp;($A166+7))</f>
      </c>
    </row>
    <row r="167">
      <c r="A167" s="11">
        <f>$A$89</f>
      </c>
      <c r="B167" s="12">
        <f>IF(B$163="","",COUNTIFS('Deliverables'!$B:$B,B$163,'Deliverables'!$H:$H,"Done",'Deliverables'!$I:$I,"&gt;="&amp;$A167,'Deliverables'!$I:$I,"&lt;"&amp;($A167+7)))</f>
      </c>
      <c r="C167" s="12">
        <f>IF(C$163="","",COUNTIFS('Deliverables'!$B:$B,C$163,'Deliverables'!$H:$H,"Done",'Deliverables'!$I:$I,"&gt;="&amp;$A167,'Deliverables'!$I:$I,"&lt;"&amp;($A167+7)))</f>
      </c>
      <c r="D167" s="12">
        <f>IF(D$163="","",COUNTIFS('Deliverables'!$B:$B,D$163,'Deliverables'!$H:$H,"Done",'Deliverables'!$I:$I,"&gt;="&amp;$A167,'Deliverables'!$I:$I,"&lt;"&amp;($A167+7)))</f>
      </c>
      <c r="E167" s="12">
        <f>IF(E$163="","",COUNTIFS('Deliverables'!$B:$B,E$163,'Deliverables'!$H:$H,"Done",'Deliverables'!$I:$I,"&gt;="&amp;$A167,'Deliverables'!$I:$I,"&lt;"&amp;($A167+7)))</f>
      </c>
      <c r="F167" s="12">
        <f>IF(F$163="","",COUNTIFS('Deliverables'!$B:$B,F$163,'Deliverables'!$H:$H,"Done",'Deliverables'!$I:$I,"&gt;="&amp;$A167,'Deliverables'!$I:$I,"&lt;"&amp;($A167+7)))</f>
      </c>
      <c r="G167" s="12">
        <f>COUNTIFS('Deliverables'!$H:$H,"Done",'Deliverables'!$I:$I,"&gt;="&amp;$A167,'Deliverables'!$I:$I,"&lt;"&amp;($A167+7))</f>
      </c>
    </row>
    <row r="168">
      <c r="A168" s="11">
        <f>$A$90</f>
      </c>
      <c r="B168" s="12">
        <f>IF(B$163="","",COUNTIFS('Deliverables'!$B:$B,B$163,'Deliverables'!$H:$H,"Done",'Deliverables'!$I:$I,"&gt;="&amp;$A168,'Deliverables'!$I:$I,"&lt;"&amp;($A168+7)))</f>
      </c>
      <c r="C168" s="12">
        <f>IF(C$163="","",COUNTIFS('Deliverables'!$B:$B,C$163,'Deliverables'!$H:$H,"Done",'Deliverables'!$I:$I,"&gt;="&amp;$A168,'Deliverables'!$I:$I,"&lt;"&amp;($A168+7)))</f>
      </c>
      <c r="D168" s="12">
        <f>IF(D$163="","",COUNTIFS('Deliverables'!$B:$B,D$163,'Deliverables'!$H:$H,"Done",'Deliverables'!$I:$I,"&gt;="&amp;$A168,'Deliverables'!$I:$I,"&lt;"&amp;($A168+7)))</f>
      </c>
      <c r="E168" s="12">
        <f>IF(E$163="","",COUNTIFS('Deliverables'!$B:$B,E$163,'Deliverables'!$H:$H,"Done",'Deliverables'!$I:$I,"&gt;="&amp;$A168,'Deliverables'!$I:$I,"&lt;"&amp;($A168+7)))</f>
      </c>
      <c r="F168" s="12">
        <f>IF(F$163="","",COUNTIFS('Deliverables'!$B:$B,F$163,'Deliverables'!$H:$H,"Done",'Deliverables'!$I:$I,"&gt;="&amp;$A168,'Deliverables'!$I:$I,"&lt;"&amp;($A168+7)))</f>
      </c>
      <c r="G168" s="12">
        <f>COUNTIFS('Deliverables'!$H:$H,"Done",'Deliverables'!$I:$I,"&gt;="&amp;$A168,'Deliverables'!$I:$I,"&lt;"&amp;($A168+7))</f>
      </c>
    </row>
    <row r="169">
      <c r="A169" s="11">
        <f>$A$91</f>
      </c>
      <c r="B169" s="12">
        <f>IF(B$163="","",COUNTIFS('Deliverables'!$B:$B,B$163,'Deliverables'!$H:$H,"Done",'Deliverables'!$I:$I,"&gt;="&amp;$A169,'Deliverables'!$I:$I,"&lt;"&amp;($A169+7)))</f>
      </c>
      <c r="C169" s="12">
        <f>IF(C$163="","",COUNTIFS('Deliverables'!$B:$B,C$163,'Deliverables'!$H:$H,"Done",'Deliverables'!$I:$I,"&gt;="&amp;$A169,'Deliverables'!$I:$I,"&lt;"&amp;($A169+7)))</f>
      </c>
      <c r="D169" s="12">
        <f>IF(D$163="","",COUNTIFS('Deliverables'!$B:$B,D$163,'Deliverables'!$H:$H,"Done",'Deliverables'!$I:$I,"&gt;="&amp;$A169,'Deliverables'!$I:$I,"&lt;"&amp;($A169+7)))</f>
      </c>
      <c r="E169" s="12">
        <f>IF(E$163="","",COUNTIFS('Deliverables'!$B:$B,E$163,'Deliverables'!$H:$H,"Done",'Deliverables'!$I:$I,"&gt;="&amp;$A169,'Deliverables'!$I:$I,"&lt;"&amp;($A169+7)))</f>
      </c>
      <c r="F169" s="12">
        <f>IF(F$163="","",COUNTIFS('Deliverables'!$B:$B,F$163,'Deliverables'!$H:$H,"Done",'Deliverables'!$I:$I,"&gt;="&amp;$A169,'Deliverables'!$I:$I,"&lt;"&amp;($A169+7)))</f>
      </c>
      <c r="G169" s="12">
        <f>COUNTIFS('Deliverables'!$H:$H,"Done",'Deliverables'!$I:$I,"&gt;="&amp;$A169,'Deliverables'!$I:$I,"&lt;"&amp;($A169+7))</f>
      </c>
    </row>
    <row r="170">
      <c r="A170" s="11">
        <f>$A$92</f>
      </c>
      <c r="B170" s="12">
        <f>IF(B$163="","",COUNTIFS('Deliverables'!$B:$B,B$163,'Deliverables'!$H:$H,"Done",'Deliverables'!$I:$I,"&gt;="&amp;$A170,'Deliverables'!$I:$I,"&lt;"&amp;($A170+7)))</f>
      </c>
      <c r="C170" s="12">
        <f>IF(C$163="","",COUNTIFS('Deliverables'!$B:$B,C$163,'Deliverables'!$H:$H,"Done",'Deliverables'!$I:$I,"&gt;="&amp;$A170,'Deliverables'!$I:$I,"&lt;"&amp;($A170+7)))</f>
      </c>
      <c r="D170" s="12">
        <f>IF(D$163="","",COUNTIFS('Deliverables'!$B:$B,D$163,'Deliverables'!$H:$H,"Done",'Deliverables'!$I:$I,"&gt;="&amp;$A170,'Deliverables'!$I:$I,"&lt;"&amp;($A170+7)))</f>
      </c>
      <c r="E170" s="12">
        <f>IF(E$163="","",COUNTIFS('Deliverables'!$B:$B,E$163,'Deliverables'!$H:$H,"Done",'Deliverables'!$I:$I,"&gt;="&amp;$A170,'Deliverables'!$I:$I,"&lt;"&amp;($A170+7)))</f>
      </c>
      <c r="F170" s="12">
        <f>IF(F$163="","",COUNTIFS('Deliverables'!$B:$B,F$163,'Deliverables'!$H:$H,"Done",'Deliverables'!$I:$I,"&gt;="&amp;$A170,'Deliverables'!$I:$I,"&lt;"&amp;($A170+7)))</f>
      </c>
      <c r="G170" s="12">
        <f>COUNTIFS('Deliverables'!$H:$H,"Done",'Deliverables'!$I:$I,"&gt;="&amp;$A170,'Deliverables'!$I:$I,"&lt;"&amp;($A170+7))</f>
      </c>
    </row>
    <row r="171">
      <c r="A171" s="11">
        <f>$A$93</f>
      </c>
      <c r="B171" s="12">
        <f>IF(B$163="","",COUNTIFS('Deliverables'!$B:$B,B$163,'Deliverables'!$H:$H,"Done",'Deliverables'!$I:$I,"&gt;="&amp;$A171,'Deliverables'!$I:$I,"&lt;"&amp;($A171+7)))</f>
      </c>
      <c r="C171" s="12">
        <f>IF(C$163="","",COUNTIFS('Deliverables'!$B:$B,C$163,'Deliverables'!$H:$H,"Done",'Deliverables'!$I:$I,"&gt;="&amp;$A171,'Deliverables'!$I:$I,"&lt;"&amp;($A171+7)))</f>
      </c>
      <c r="D171" s="12">
        <f>IF(D$163="","",COUNTIFS('Deliverables'!$B:$B,D$163,'Deliverables'!$H:$H,"Done",'Deliverables'!$I:$I,"&gt;="&amp;$A171,'Deliverables'!$I:$I,"&lt;"&amp;($A171+7)))</f>
      </c>
      <c r="E171" s="12">
        <f>IF(E$163="","",COUNTIFS('Deliverables'!$B:$B,E$163,'Deliverables'!$H:$H,"Done",'Deliverables'!$I:$I,"&gt;="&amp;$A171,'Deliverables'!$I:$I,"&lt;"&amp;($A171+7)))</f>
      </c>
      <c r="F171" s="12">
        <f>IF(F$163="","",COUNTIFS('Deliverables'!$B:$B,F$163,'Deliverables'!$H:$H,"Done",'Deliverables'!$I:$I,"&gt;="&amp;$A171,'Deliverables'!$I:$I,"&lt;"&amp;($A171+7)))</f>
      </c>
      <c r="G171" s="12">
        <f>COUNTIFS('Deliverables'!$H:$H,"Done",'Deliverables'!$I:$I,"&gt;="&amp;$A171,'Deliverables'!$I:$I,"&lt;"&amp;($A171+7))</f>
      </c>
    </row>
    <row r="172">
      <c r="A172" s="35" t="inlineStr">
        <is>
          <t xml:space="preserve">Hours per deliverable</t>
        </is>
      </c>
      <c r="B172" s="60">
        <f>IF(B$163="","",IFERROR(SUMIFS('Task Details'!$K:$K,'Task Details'!$F:$F,B$163,'Task Details'!$U:$U,"&gt;1")/SUMIFS('Task Details'!$W:$W,'Task Details'!$F:$F,B$163,'Task Details'!$U:$U,"&gt;1"),"-"))</f>
      </c>
      <c r="C172" s="60">
        <f>IF(C$163="","",IFERROR(SUMIFS('Task Details'!$K:$K,'Task Details'!$F:$F,C$163,'Task Details'!$U:$U,"&gt;1")/SUMIFS('Task Details'!$W:$W,'Task Details'!$F:$F,C$163,'Task Details'!$U:$U,"&gt;1"),"-"))</f>
      </c>
      <c r="D172" s="60">
        <f>IF(D$163="","",IFERROR(SUMIFS('Task Details'!$K:$K,'Task Details'!$F:$F,D$163,'Task Details'!$U:$U,"&gt;1")/SUMIFS('Task Details'!$W:$W,'Task Details'!$F:$F,D$163,'Task Details'!$U:$U,"&gt;1"),"-"))</f>
      </c>
      <c r="E172" s="60">
        <f>IF(E$163="","",IFERROR(SUMIFS('Task Details'!$K:$K,'Task Details'!$F:$F,E$163,'Task Details'!$U:$U,"&gt;1")/SUMIFS('Task Details'!$W:$W,'Task Details'!$F:$F,E$163,'Task Details'!$U:$U,"&gt;1"),"-"))</f>
      </c>
      <c r="F172" s="60">
        <f>IF(F$163="","",IFERROR(SUMIFS('Task Details'!$K:$K,'Task Details'!$F:$F,F$163,'Task Details'!$U:$U,"&gt;1")/SUMIFS('Task Details'!$W:$W,'Task Details'!$F:$F,F$163,'Task Details'!$U:$U,"&gt;1"),"-"))</f>
      </c>
      <c r="G172" s="60">
        <f>IFERROR(SUMIFS('Task Details'!$K:$K,'Task Details'!$U:$U,"&gt;1")/SUMIFS('Task Details'!$W:$W,'Task Details'!$U:$U,"&gt;1"),"-")</f>
      </c>
    </row>
  </sheetData>
  <mergeCells count="16"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K4:L4"/>
    <mergeCell ref="K5:L5"/>
    <mergeCell ref="M4:N4"/>
    <mergeCell ref="M5:N5"/>
    <mergeCell ref="O4:P4"/>
    <mergeCell ref="O5:P5"/>
  </mergeCells>
  <pageMargins left="0.5" right="0.5" top="0.5" bottom="0.5" header="0.3" footer="0.3"/>
  <pageSetup orientation="landscape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W4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baseColWidth="10" defaultRowHeight="16"/>
  <cols>
    <col min="1" max="1" width="9" customWidth="1"/>
    <col min="2" max="2" width="20" customWidth="1"/>
    <col min="3" max="3" width="18" customWidth="1"/>
    <col min="4" max="4" width="36" customWidth="1"/>
    <col min="5" max="5" width="20" customWidth="1"/>
    <col min="6" max="6" width="14" customWidth="1"/>
    <col min="7" max="7" width="13" customWidth="1"/>
    <col min="8" max="8" width="15" customWidth="1"/>
    <col min="9" max="9" width="10" customWidth="1"/>
    <col min="10" max="10" width="11" customWidth="1"/>
    <col min="11" max="11" width="11" customWidth="1"/>
    <col min="12" max="12" width="13" customWidth="1"/>
    <col min="13" max="13" width="44" customWidth="1"/>
    <col min="14" max="14" width="14" customWidth="1"/>
    <col min="15" max="15" width="13" customWidth="1"/>
    <col min="16" max="16" width="36" customWidth="1"/>
    <col min="17" max="17" width="12" customWidth="1"/>
    <col min="18" max="18" width="30" customWidth="1"/>
    <col min="19" max="19" width="11" customWidth="1"/>
    <col min="20" max="20" width="13" customWidth="1"/>
    <col min="21" max="21" width="7" customWidth="1"/>
    <col min="22" max="22" width="12" customWidth="1"/>
    <col min="23" max="23" width="10" customWidth="1"/>
  </cols>
  <sheetData>
    <row r="1">
      <c r="A1" s="4" t="inlineStr">
        <is>
          <t xml:space="preserve">Task Details</t>
        </is>
      </c>
    </row>
    <row r="2">
      <c r="A2" s="3" t="inlineStr">
        <is>
          <t xml:space="preserve">Written by Design Task Hub on export. Row 5 here is row 5 on the Tracker. Grey columns link to the Tracker; teal columns come from designers' daily updates.</t>
        </is>
      </c>
    </row>
    <row r="4" ht="34" customHeight="1">
      <c r="A4" s="6" t="inlineStr">
        <is>
          <t xml:space="preserve">Task ID</t>
        </is>
      </c>
      <c r="B4" s="5" t="inlineStr">
        <is>
          <t xml:space="preserve">Master Task</t>
        </is>
      </c>
      <c r="C4" s="5" t="inlineStr">
        <is>
          <t xml:space="preserve">Subtask</t>
        </is>
      </c>
      <c r="D4" s="5" t="inlineStr">
        <is>
          <t xml:space="preserve">Task Title</t>
        </is>
      </c>
      <c r="E4" s="6" t="inlineStr">
        <is>
          <t xml:space="preserve">Project</t>
        </is>
      </c>
      <c r="F4" s="6" t="inlineStr">
        <is>
          <t xml:space="preserve">Designer</t>
        </is>
      </c>
      <c r="G4" s="6" t="inlineStr">
        <is>
          <t xml:space="preserve">Status</t>
        </is>
      </c>
      <c r="H4" s="6" t="inlineStr">
        <is>
          <t xml:space="preserve">Delivery Status</t>
        </is>
      </c>
      <c r="I4" s="6" t="inlineStr">
        <is>
          <t xml:space="preserve">Est. Hours</t>
        </is>
      </c>
      <c r="J4" s="33" t="inlineStr">
        <is>
          <t xml:space="preserve">Progress %</t>
        </is>
      </c>
      <c r="K4" s="33" t="inlineStr">
        <is>
          <t xml:space="preserve">Hours Logged</t>
        </is>
      </c>
      <c r="L4" s="33" t="inlineStr">
        <is>
          <t xml:space="preserve">Last Update</t>
        </is>
      </c>
      <c r="M4" s="33" t="inlineStr">
        <is>
          <t xml:space="preserve">Latest Note</t>
        </is>
      </c>
      <c r="N4" s="5" t="inlineStr">
        <is>
          <t xml:space="preserve">Assigned By</t>
        </is>
      </c>
      <c r="O4" s="5" t="inlineStr">
        <is>
          <t xml:space="preserve">Assigned On</t>
        </is>
      </c>
      <c r="P4" s="5" t="inlineStr">
        <is>
          <t xml:space="preserve">Brief / Link</t>
        </is>
      </c>
      <c r="Q4" s="5" t="inlineStr">
        <is>
          <t xml:space="preserve">4E Line</t>
        </is>
      </c>
      <c r="R4" s="5" t="inlineStr">
        <is>
          <t xml:space="preserve">Master Task Title</t>
        </is>
      </c>
      <c r="S4" s="5" t="inlineStr">
        <is>
          <t xml:space="preserve">Request ID</t>
        </is>
      </c>
      <c r="T4" s="5" t="inlineStr">
        <is>
          <t xml:space="preserve">Approved On</t>
        </is>
      </c>
      <c r="U4" s="5" t="inlineStr">
        <is>
          <t xml:space="preserve">Qty</t>
        </is>
      </c>
      <c r="V4" s="5" t="inlineStr">
        <is>
          <t xml:space="preserve">Unit</t>
        </is>
      </c>
      <c r="W4" s="33" t="inlineStr">
        <is>
          <t xml:space="preserve">Items Done</t>
        </is>
      </c>
    </row>
  </sheetData>
  <autoFilter ref="A4:W4"/>
  <pageMargins left="0.5" right="0.5" top="0.5" bottom="0.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10" defaultRowHeight="16"/>
  <cols>
    <col min="1" max="1" width="12" customWidth="1"/>
    <col min="2" max="2" width="9" customWidth="1"/>
    <col min="3" max="3" width="14" customWidth="1"/>
    <col min="4" max="4" width="20" customWidth="1"/>
    <col min="5" max="5" width="18" customWidth="1"/>
    <col min="6" max="6" width="9" customWidth="1"/>
    <col min="7" max="7" width="11" customWidth="1"/>
    <col min="8" max="8" width="13" customWidth="1"/>
    <col min="9" max="9" width="50" customWidth="1"/>
    <col min="10" max="10" width="36" customWidth="1"/>
  </cols>
  <sheetData>
    <row r="1">
      <c r="A1" s="4" t="inlineStr">
        <is>
          <t xml:space="preserve">Daily Log</t>
        </is>
      </c>
    </row>
    <row r="2">
      <c r="A2" s="3" t="inlineStr">
        <is>
          <t xml:space="preserve">One row per designer update per task per day, written by Design Task Hub on export. Hours feed the Dashboard.</t>
        </is>
      </c>
    </row>
    <row r="4" ht="34" customHeight="1">
      <c r="A4" s="33" t="inlineStr">
        <is>
          <t xml:space="preserve">Date</t>
        </is>
      </c>
      <c r="B4" s="33" t="inlineStr">
        <is>
          <t xml:space="preserve">Task ID</t>
        </is>
      </c>
      <c r="C4" s="33" t="inlineStr">
        <is>
          <t xml:space="preserve">Designer</t>
        </is>
      </c>
      <c r="D4" s="33" t="inlineStr">
        <is>
          <t xml:space="preserve">Master Task</t>
        </is>
      </c>
      <c r="E4" s="33" t="inlineStr">
        <is>
          <t xml:space="preserve">Subtask</t>
        </is>
      </c>
      <c r="F4" s="33" t="inlineStr">
        <is>
          <t xml:space="preserve">Hours</t>
        </is>
      </c>
      <c r="G4" s="33" t="inlineStr">
        <is>
          <t xml:space="preserve">Progress %</t>
        </is>
      </c>
      <c r="H4" s="33" t="inlineStr">
        <is>
          <t xml:space="preserve">Status</t>
        </is>
      </c>
      <c r="I4" s="33" t="inlineStr">
        <is>
          <t xml:space="preserve">Note</t>
        </is>
      </c>
      <c r="J4" s="33" t="inlineStr">
        <is>
          <t xml:space="preserve">Blocker</t>
        </is>
      </c>
    </row>
  </sheetData>
  <autoFilter ref="A4:J4"/>
  <pageMargins left="0.5" right="0.5" top="0.5" bottom="0.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4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10" defaultRowHeight="16"/>
  <cols>
    <col min="1" max="1" width="11" customWidth="1"/>
    <col min="2" max="2" width="12" customWidth="1"/>
    <col min="3" max="3" width="12" customWidth="1"/>
    <col min="4" max="4" width="12" customWidth="1"/>
    <col min="5" max="5" width="18" customWidth="1"/>
    <col min="6" max="6" width="20" customWidth="1"/>
    <col min="7" max="7" width="30" customWidth="1"/>
    <col min="8" max="8" width="10" customWidth="1"/>
    <col min="9" max="9" width="16" customWidth="1"/>
    <col min="10" max="10" width="40" customWidth="1"/>
    <col min="11" max="11" width="13" customWidth="1"/>
    <col min="12" max="12" width="12" customWidth="1"/>
    <col min="13" max="13" width="12" customWidth="1"/>
    <col min="14" max="14" width="10" customWidth="1"/>
    <col min="15" max="15" width="17" customWidth="1"/>
    <col min="16" max="16" width="12" customWidth="1"/>
    <col min="17" max="17" width="36" customWidth="1"/>
    <col min="18" max="18" width="9" customWidth="1"/>
    <col min="19" max="19" width="7" customWidth="1"/>
    <col min="20" max="20" width="12" customWidth="1"/>
  </cols>
  <sheetData>
    <row r="1">
      <c r="A1" s="4" t="inlineStr">
        <is>
          <t xml:space="preserve">Task Funnel</t>
        </is>
      </c>
    </row>
    <row r="2">
      <c r="A2" s="3" t="inlineStr">
        <is>
          <t xml:space="preserve">Every request PMs submitted, one row per subtask, with your decision. Approved subtasks become Tracker rows (Task ID).</t>
        </is>
      </c>
    </row>
    <row r="4" ht="34" customHeight="1">
      <c r="A4" s="5" t="inlineStr">
        <is>
          <t xml:space="preserve">Request ID</t>
        </is>
      </c>
      <c r="B4" s="5" t="inlineStr">
        <is>
          <t xml:space="preserve">Submitted</t>
        </is>
      </c>
      <c r="C4" s="5" t="inlineStr">
        <is>
          <t xml:space="preserve">PM</t>
        </is>
      </c>
      <c r="D4" s="5" t="inlineStr">
        <is>
          <t xml:space="preserve">4E Line</t>
        </is>
      </c>
      <c r="E4" s="5" t="inlineStr">
        <is>
          <t xml:space="preserve">Product</t>
        </is>
      </c>
      <c r="F4" s="5" t="inlineStr">
        <is>
          <t xml:space="preserve">Project</t>
        </is>
      </c>
      <c r="G4" s="5" t="inlineStr">
        <is>
          <t xml:space="preserve">Master Task</t>
        </is>
      </c>
      <c r="H4" s="5" t="inlineStr">
        <is>
          <t xml:space="preserve">Priority</t>
        </is>
      </c>
      <c r="I4" s="5" t="inlineStr">
        <is>
          <t xml:space="preserve">Subtask</t>
        </is>
      </c>
      <c r="J4" s="5" t="inlineStr">
        <is>
          <t xml:space="preserve">Detail</t>
        </is>
      </c>
      <c r="K4" s="5" t="inlineStr">
        <is>
          <t xml:space="preserve">Designer</t>
        </is>
      </c>
      <c r="L4" s="5" t="inlineStr">
        <is>
          <t xml:space="preserve">Start</t>
        </is>
      </c>
      <c r="M4" s="5" t="inlineStr">
        <is>
          <t xml:space="preserve">End</t>
        </is>
      </c>
      <c r="N4" s="5" t="inlineStr">
        <is>
          <t xml:space="preserve">Est. Hours</t>
        </is>
      </c>
      <c r="O4" s="5" t="inlineStr">
        <is>
          <t xml:space="preserve">Status</t>
        </is>
      </c>
      <c r="P4" s="5" t="inlineStr">
        <is>
          <t xml:space="preserve">Decided On</t>
        </is>
      </c>
      <c r="Q4" s="5" t="inlineStr">
        <is>
          <t xml:space="preserve">Owner Note</t>
        </is>
      </c>
      <c r="R4" s="5" t="inlineStr">
        <is>
          <t xml:space="preserve">Task ID</t>
        </is>
      </c>
      <c r="S4" s="5" t="inlineStr">
        <is>
          <t xml:space="preserve">Qty</t>
        </is>
      </c>
      <c r="T4" s="5" t="inlineStr">
        <is>
          <t xml:space="preserve">Unit</t>
        </is>
      </c>
    </row>
  </sheetData>
  <autoFilter ref="A4:T4"/>
  <pageMargins left="0.5" right="0.5" top="0.5" bottom="0.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4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10" defaultRowHeight="16"/>
  <cols>
    <col min="1" max="1" width="9" customWidth="1"/>
    <col min="2" max="2" width="13" customWidth="1"/>
    <col min="3" max="3" width="18" customWidth="1"/>
    <col min="4" max="4" width="16" customWidth="1"/>
    <col min="5" max="5" width="34" customWidth="1"/>
    <col min="6" max="6" width="5" customWidth="1"/>
    <col min="7" max="7" width="34" customWidth="1"/>
    <col min="8" max="8" width="13" customWidth="1"/>
    <col min="9" max="9" width="12" customWidth="1"/>
    <col min="10" max="10" width="10" customWidth="1"/>
    <col min="11" max="11" width="40" customWidth="1"/>
  </cols>
  <sheetData>
    <row r="1">
      <c r="A1" s="4" t="inlineStr">
        <is>
          <t xml:space="preserve">Deliverables</t>
        </is>
      </c>
    </row>
    <row r="2">
      <c r="A2" s="3" t="inlineStr">
        <is>
          <t xml:space="preserve">One row per item inside a batch task (for example each video in a set of 12), written by Design Task Hub on export.</t>
        </is>
      </c>
    </row>
    <row r="4" ht="34" customHeight="1">
      <c r="A4" s="33" t="inlineStr">
        <is>
          <t xml:space="preserve">Task ID</t>
        </is>
      </c>
      <c r="B4" s="33" t="inlineStr">
        <is>
          <t xml:space="preserve">Designer</t>
        </is>
      </c>
      <c r="C4" s="33" t="inlineStr">
        <is>
          <t xml:space="preserve">Product</t>
        </is>
      </c>
      <c r="D4" s="33" t="inlineStr">
        <is>
          <t xml:space="preserve">Subtask</t>
        </is>
      </c>
      <c r="E4" s="33" t="inlineStr">
        <is>
          <t xml:space="preserve">Batch</t>
        </is>
      </c>
      <c r="F4" s="33" t="inlineStr">
        <is>
          <t xml:space="preserve">#</t>
        </is>
      </c>
      <c r="G4" s="33" t="inlineStr">
        <is>
          <t xml:space="preserve">Deliverable</t>
        </is>
      </c>
      <c r="H4" s="33" t="inlineStr">
        <is>
          <t xml:space="preserve">Status</t>
        </is>
      </c>
      <c r="I4" s="33" t="inlineStr">
        <is>
          <t xml:space="preserve">Done On</t>
        </is>
      </c>
      <c r="J4" s="33" t="inlineStr">
        <is>
          <t xml:space="preserve">Revisions</t>
        </is>
      </c>
      <c r="K4" s="33" t="inlineStr">
        <is>
          <t xml:space="preserve">Link</t>
        </is>
      </c>
    </row>
  </sheetData>
  <autoFilter ref="A4:K4"/>
  <pageMargins left="0.5" right="0.5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Tracker</vt:lpstr>
      <vt:lpstr>Scorecard</vt:lpstr>
      <vt:lpstr>Settings</vt:lpstr>
      <vt:lpstr>Leave &amp; Holidays</vt:lpstr>
      <vt:lpstr>Dashboard</vt:lpstr>
      <vt:lpstr>Task Details</vt:lpstr>
      <vt:lpstr>Daily Log</vt:lpstr>
      <vt:lpstr>Task Funnel</vt:lpstr>
      <vt:lpstr>Deliverables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Nair</dc:creator>
  <cp:lastModifiedBy>Manu Nair</cp:lastModifiedBy>
  <dcterms:created xsi:type="dcterms:W3CDTF">2026-09-29T07:16:08Z</dcterms:created>
  <dcterms:modified xsi:type="dcterms:W3CDTF">2026-09-29T08:23:06Z</dcterms:modified>
</cp:coreProperties>
</file>